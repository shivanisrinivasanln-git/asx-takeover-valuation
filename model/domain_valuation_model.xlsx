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8_{AE4CF33B-C050-498B-BF75-B1FF641A9E71}" xr6:coauthVersionLast="47" xr6:coauthVersionMax="47" xr10:uidLastSave="{00000000-0000-0000-0000-000000000000}"/>
  <bookViews>
    <workbookView xWindow="5760" yWindow="3360" windowWidth="17280" windowHeight="8880" xr2:uid="{00000000-000D-0000-FFFF-FFFF00000000}"/>
  </bookViews>
  <sheets>
    <sheet name="Assumptions" sheetId="1" r:id="rId1"/>
    <sheet name="DCF" sheetId="2" r:id="rId2"/>
    <sheet name="Comparables" sheetId="3" r:id="rId3"/>
    <sheet name="Precedents" sheetId="4" r:id="rId4"/>
    <sheet name="Summary" sheetId="5" r:id="rId5"/>
  </sheets>
  <definedNames>
    <definedName name="adjusted_net_debt_aud_m">DCF!$D$38</definedName>
    <definedName name="agent_dividend_pct_of_prior_year_revenue_pct">Assumptions!$C$20</definedName>
    <definedName name="capex_pct_of_revenue_fy26_to_fy30_pct">Assumptions!$C$13</definedName>
    <definedName name="capex_pct_of_revenue_long_term_pct">Assumptions!$C$14</definedName>
    <definedName name="combined_value_per_share_aud_high">Summary!$E$15</definedName>
    <definedName name="combined_value_per_share_aud_low">Summary!$D$15</definedName>
    <definedName name="control_premium_applied_pct">Assumptions!$C$59</definedName>
    <definedName name="control_premium_typical_high_pct">Assumptions!$C$56</definedName>
    <definedName name="control_premium_typical_low_pct">Assumptions!$C$55</definedName>
    <definedName name="corporate_cost_saving_aud_m">Assumptions!$C$22</definedName>
    <definedName name="cost_of_debt_margin_over_risk_free_pct">Assumptions!$C$28</definedName>
    <definedName name="dcf_business_operations_value_aud_m_high">DCF!$E$34</definedName>
    <definedName name="dcf_business_operations_value_aud_m_low">DCF!$C$34</definedName>
    <definedName name="dcf_business_operations_value_aud_m_mid">DCF!$D$34</definedName>
    <definedName name="dcf_diluted_shares_m_high">DCF!$E$40</definedName>
    <definedName name="dcf_diluted_shares_m_low">DCF!$C$40</definedName>
    <definedName name="dcf_diluted_shares_m_mid">DCF!$D$40</definedName>
    <definedName name="dcf_discount_rate_pct_high">DCF!$E$28</definedName>
    <definedName name="dcf_discount_rate_pct_low">DCF!$C$28</definedName>
    <definedName name="dcf_discount_rate_pct_mid">DCF!$D$28</definedName>
    <definedName name="dcf_enterprise_value_aud_m_high">DCF!$E$37</definedName>
    <definedName name="dcf_enterprise_value_aud_m_low">DCF!$C$37</definedName>
    <definedName name="dcf_enterprise_value_aud_m_mid">DCF!$D$37</definedName>
    <definedName name="dcf_equity_value_aud_m_high">DCF!$E$39</definedName>
    <definedName name="dcf_equity_value_aud_m_low">DCF!$C$39</definedName>
    <definedName name="dcf_equity_value_aud_m_mid">DCF!$D$39</definedName>
    <definedName name="dcf_present_value_of_cash_flows_aud_m_high">DCF!$E$30</definedName>
    <definedName name="dcf_present_value_of_cash_flows_aud_m_low">DCF!$C$30</definedName>
    <definedName name="dcf_present_value_of_cash_flows_aud_m_mid">DCF!$D$30</definedName>
    <definedName name="dcf_present_value_of_terminal_value_aud_m_high">DCF!$E$33</definedName>
    <definedName name="dcf_present_value_of_terminal_value_aud_m_low">DCF!$C$33</definedName>
    <definedName name="dcf_present_value_of_terminal_value_aud_m_mid">DCF!$D$33</definedName>
    <definedName name="dcf_terminal_growth_pct">DCF!$D$29</definedName>
    <definedName name="dcf_terminal_value_aud_m_high">DCF!$E$31</definedName>
    <definedName name="dcf_terminal_value_aud_m_low">DCF!$C$31</definedName>
    <definedName name="dcf_terminal_value_aud_m_mid">DCF!$D$31</definedName>
    <definedName name="dcf_terminal_value_share_of_operations_pct_high">DCF!$E$35</definedName>
    <definedName name="dcf_terminal_value_share_of_operations_pct_low">DCF!$C$35</definedName>
    <definedName name="dcf_terminal_value_share_of_operations_pct_mid">DCF!$D$35</definedName>
    <definedName name="dcf_value_per_share_aud_high">DCF!$E$41</definedName>
    <definedName name="dcf_value_per_share_aud_low">DCF!$C$41</definedName>
    <definedName name="dcf_value_per_share_aud_mid">DCF!$D$41</definedName>
    <definedName name="depreciation_pct_of_revenue_long_term_pct">Assumptions!$C$16</definedName>
    <definedName name="discount_rate_high_pct">Assumptions!$C$32</definedName>
    <definedName name="discount_rate_low_pct">Assumptions!$C$31</definedName>
    <definedName name="early_years_count">Assumptions!$C$93</definedName>
    <definedName name="ebitda_margin_fy30_pct">Assumptions!$C$11</definedName>
    <definedName name="ebitda_margin_fy35_pct">Assumptions!$C$12</definedName>
    <definedName name="equity_beta_high">Assumptions!$C$27</definedName>
    <definedName name="equity_beta_low">Assumptions!$C$26</definedName>
    <definedName name="equity_weight_high_pct">Assumptions!$C$30</definedName>
    <definedName name="equity_weight_low_pct">Assumptions!$C$29</definedName>
    <definedName name="expert_business_operations_value_aud_m_high">Assumptions!$C$90</definedName>
    <definedName name="expert_business_operations_value_aud_m_low">Assumptions!$C$89</definedName>
    <definedName name="expert_capex_pct_of_revenue_fy26_to_fy30_pct">Assumptions!$C$68</definedName>
    <definedName name="expert_capex_pct_of_revenue_long_term_pct">Assumptions!$C$69</definedName>
    <definedName name="expert_control_premium_applied_pct">Assumptions!$C$77</definedName>
    <definedName name="expert_depreciation_pct_of_revenue_long_term_pct">Assumptions!$C$70</definedName>
    <definedName name="expert_discount_rate_high_pct">Assumptions!$C$64</definedName>
    <definedName name="expert_discount_rate_low_pct">Assumptions!$C$63</definedName>
    <definedName name="expert_ebitda_margin_fy30_pct">Assumptions!$C$66</definedName>
    <definedName name="expert_ebitda_margin_fy35_pct">Assumptions!$C$67</definedName>
    <definedName name="expert_method_weight_dcf_pct">Assumptions!$C$78</definedName>
    <definedName name="expert_method_weight_precedent_pct">Assumptions!$C$80</definedName>
    <definedName name="expert_method_weight_trading_pct">Assumptions!$C$79</definedName>
    <definedName name="expert_precedent_ebitda_multiple_fy26_high_x">Assumptions!$C$76</definedName>
    <definedName name="expert_precedent_ebitda_multiple_fy26_low_x">Assumptions!$C$75</definedName>
    <definedName name="expert_revenue_growth_fy26_to_fy35_pct">Assumptions!$C$65</definedName>
    <definedName name="expert_risk_free_rate_pct">Assumptions!$C$24</definedName>
    <definedName name="expert_terminal_growth_pct">Assumptions!$C$72</definedName>
    <definedName name="expert_trading_ebitda_multiple_fy26_high_x">Assumptions!$C$74</definedName>
    <definedName name="expert_trading_ebitda_multiple_fy26_low_x">Assumptions!$C$73</definedName>
    <definedName name="expert_value_per_share_aud_high">Assumptions!$C$92</definedName>
    <definedName name="expert_value_per_share_aud_low">Assumptions!$C$91</definedName>
    <definedName name="expert_value_per_share_aud_mid">Summary!$C$21</definedName>
    <definedName name="expert_working_capital_pct_of_revenue_pct">Assumptions!$C$71</definedName>
    <definedName name="first_half_fy25_depreciation_and_other_amortisation_aud_m">Assumptions!$C$88</definedName>
    <definedName name="first_half_fy25_ebitda_aud_m">Assumptions!$C$87</definedName>
    <definedName name="first_half_fy25_revenue_aud_m">Assumptions!$C$86</definedName>
    <definedName name="fy24_revenue_aud_m">Assumptions!$C$85</definedName>
    <definedName name="fy25_depreciation_and_other_amortisation_aud_m">Assumptions!$C$15</definedName>
    <definedName name="fy25_ebitda_aud_m">Assumptions!$C$9</definedName>
    <definedName name="fy25_revenue_aud_m">Assumptions!$C$8</definedName>
    <definedName name="fy26_adjusted_ebita_aud_m">Assumptions!$C$34</definedName>
    <definedName name="fy26_adjusted_ebitda_aud_m">Assumptions!$C$33</definedName>
    <definedName name="listed_share_discount_to_underlying_high_pct">Assumptions!$C$58</definedName>
    <definedName name="listed_share_discount_to_underlying_low_pct">Assumptions!$C$57</definedName>
    <definedName name="market_risk_premium_pct">Assumptions!$C$25</definedName>
    <definedName name="method_weight_dcf_pct">Assumptions!$C$60</definedName>
    <definedName name="method_weight_precedent_pct">Assumptions!$C$62</definedName>
    <definedName name="method_weight_trading_pct">Assumptions!$C$61</definedName>
    <definedName name="mid_year_discounting_flag">Assumptions!$C$81</definedName>
    <definedName name="net_debt_adjustment_capitalised_borrowing_costs_aud_m">Assumptions!$C$44</definedName>
    <definedName name="net_debt_adjustment_interim_dividend_aud_m">Assumptions!$C$45</definedName>
    <definedName name="offer_premium_to_undisturbed_pct">Summary!$C$20</definedName>
    <definedName name="offer_price_aud">Assumptions!$C$52</definedName>
    <definedName name="ordinary_shares_on_issue_m">Assumptions!$C$47</definedName>
    <definedName name="other_assets_and_liabilities_aud_m">Assumptions!$C$46</definedName>
    <definedName name="precedent_ebita_business_operations_value_aud_m_high">Precedents!$E$23</definedName>
    <definedName name="precedent_ebita_business_operations_value_aud_m_low">Precedents!$C$23</definedName>
    <definedName name="precedent_ebita_business_operations_value_aud_m_mid">Precedents!$D$23</definedName>
    <definedName name="precedent_ebita_control_premium_pct">Precedents!$C$22</definedName>
    <definedName name="precedent_ebita_diluted_shares_m_high">Precedents!$E$28</definedName>
    <definedName name="precedent_ebita_diluted_shares_m_low">Precedents!$C$28</definedName>
    <definedName name="precedent_ebita_diluted_shares_m_mid">Precedents!$D$28</definedName>
    <definedName name="precedent_ebita_earnings_aud_m">Precedents!$C$19</definedName>
    <definedName name="precedent_ebita_enterprise_value_aud_m_high">Precedents!$E$25</definedName>
    <definedName name="precedent_ebita_enterprise_value_aud_m_low">Precedents!$C$25</definedName>
    <definedName name="precedent_ebita_enterprise_value_aud_m_mid">Precedents!$D$25</definedName>
    <definedName name="precedent_ebita_equity_value_aud_m_high">Precedents!$E$27</definedName>
    <definedName name="precedent_ebita_equity_value_aud_m_low">Precedents!$C$27</definedName>
    <definedName name="precedent_ebita_equity_value_aud_m_mid">Precedents!$D$27</definedName>
    <definedName name="precedent_ebita_multiple_fy26_high_x">Assumptions!$C$42</definedName>
    <definedName name="precedent_ebita_multiple_fy26_low_x">Assumptions!$C$41</definedName>
    <definedName name="precedent_ebita_multiple_x_high">Precedents!$E$20</definedName>
    <definedName name="precedent_ebita_multiple_x_low">Precedents!$C$20</definedName>
    <definedName name="precedent_ebita_multiple_x_mid">Precedents!$D$20</definedName>
    <definedName name="precedent_ebita_value_per_share_aud_high">Precedents!$E$29</definedName>
    <definedName name="precedent_ebita_value_per_share_aud_low">Precedents!$C$29</definedName>
    <definedName name="precedent_ebita_value_per_share_aud_mid">Precedents!$D$29</definedName>
    <definedName name="precedent_ebitda_business_operations_value_aud_m_high">Precedents!$E$9</definedName>
    <definedName name="precedent_ebitda_business_operations_value_aud_m_low">Precedents!$C$9</definedName>
    <definedName name="precedent_ebitda_business_operations_value_aud_m_mid">Precedents!$D$9</definedName>
    <definedName name="precedent_ebitda_control_premium_pct">Precedents!$C$8</definedName>
    <definedName name="precedent_ebitda_diluted_shares_m_high">Precedents!$E$14</definedName>
    <definedName name="precedent_ebitda_diluted_shares_m_low">Precedents!$C$14</definedName>
    <definedName name="precedent_ebitda_diluted_shares_m_mid">Precedents!$D$14</definedName>
    <definedName name="precedent_ebitda_earnings_aud_m">Precedents!$C$5</definedName>
    <definedName name="precedent_ebitda_enterprise_value_aud_m_high">Precedents!$E$11</definedName>
    <definedName name="precedent_ebitda_enterprise_value_aud_m_low">Precedents!$C$11</definedName>
    <definedName name="precedent_ebitda_enterprise_value_aud_m_mid">Precedents!$D$11</definedName>
    <definedName name="precedent_ebitda_equity_value_aud_m_high">Precedents!$E$13</definedName>
    <definedName name="precedent_ebitda_equity_value_aud_m_low">Precedents!$C$13</definedName>
    <definedName name="precedent_ebitda_equity_value_aud_m_mid">Precedents!$D$13</definedName>
    <definedName name="precedent_ebitda_multiple_fy26_high_x">Assumptions!$C$40</definedName>
    <definedName name="precedent_ebitda_multiple_fy26_low_x">Assumptions!$C$39</definedName>
    <definedName name="precedent_ebitda_multiple_x_high">Precedents!$E$6</definedName>
    <definedName name="precedent_ebitda_multiple_x_low">Precedents!$C$6</definedName>
    <definedName name="precedent_ebitda_multiple_x_mid">Precedents!$D$6</definedName>
    <definedName name="precedent_ebitda_value_per_share_aud_high">Precedents!$E$15</definedName>
    <definedName name="precedent_ebitda_value_per_share_aud_low">Precedents!$C$15</definedName>
    <definedName name="precedent_ebitda_value_per_share_aud_mid">Precedents!$D$15</definedName>
    <definedName name="preferred_dcf_value_per_share_aud">Summary!$F$12</definedName>
    <definedName name="preferred_precedent_value_per_share_aud">Summary!$F$14</definedName>
    <definedName name="preferred_trading_value_per_share_aud">Summary!$F$13</definedName>
    <definedName name="preferred_value_per_share_aud">Summary!$F$15</definedName>
    <definedName name="projection_end_date_ymd">Assumptions!$C$6:$E$6</definedName>
    <definedName name="reported_net_debt_including_leases_aud_m">Assumptions!$C$43</definedName>
    <definedName name="residential_and_mdc_share_of_revenue_pct">Assumptions!$C$21</definedName>
    <definedName name="revenue_growth_fy26_to_fy35_pct">Assumptions!$C$10</definedName>
    <definedName name="risk_free_rate_pct">Assumptions!$C$23</definedName>
    <definedName name="sensitivity_growth_step_pct">Assumptions!$C$83</definedName>
    <definedName name="sensitivity_rate_step_pct">Assumptions!$C$82</definedName>
    <definedName name="sensitivity_steps_each_side">Assumptions!$C$84</definedName>
    <definedName name="share_rights_cash_settled_m">Assumptions!$C$51</definedName>
    <definedName name="share_rights_vesting_high_m">Assumptions!$C$50</definedName>
    <definedName name="share_rights_vesting_low_m">Assumptions!$C$49</definedName>
    <definedName name="special_dividend_aud">Assumptions!$C$53</definedName>
    <definedName name="stub_period_years">Assumptions!$C$7</definedName>
    <definedName name="tax_rate_pct">Assumptions!$C$18</definedName>
    <definedName name="terminal_growth_pct">Assumptions!$C$19</definedName>
    <definedName name="trading_ebita_business_operations_value_aud_m_high">Comparables!$E$23</definedName>
    <definedName name="trading_ebita_business_operations_value_aud_m_low">Comparables!$C$23</definedName>
    <definedName name="trading_ebita_business_operations_value_aud_m_mid">Comparables!$D$23</definedName>
    <definedName name="trading_ebita_control_premium_pct">Comparables!$C$22</definedName>
    <definedName name="trading_ebita_diluted_shares_m_high">Comparables!$E$28</definedName>
    <definedName name="trading_ebita_diluted_shares_m_low">Comparables!$C$28</definedName>
    <definedName name="trading_ebita_diluted_shares_m_mid">Comparables!$D$28</definedName>
    <definedName name="trading_ebita_earnings_aud_m">Comparables!$C$19</definedName>
    <definedName name="trading_ebita_enterprise_value_aud_m_high">Comparables!$E$25</definedName>
    <definedName name="trading_ebita_enterprise_value_aud_m_low">Comparables!$C$25</definedName>
    <definedName name="trading_ebita_enterprise_value_aud_m_mid">Comparables!$D$25</definedName>
    <definedName name="trading_ebita_equity_value_aud_m_high">Comparables!$E$27</definedName>
    <definedName name="trading_ebita_equity_value_aud_m_low">Comparables!$C$27</definedName>
    <definedName name="trading_ebita_equity_value_aud_m_mid">Comparables!$D$27</definedName>
    <definedName name="trading_ebita_multiple_fy26_high_x">Assumptions!$C$38</definedName>
    <definedName name="trading_ebita_multiple_fy26_low_x">Assumptions!$C$37</definedName>
    <definedName name="trading_ebita_multiple_x_high">Comparables!$E$20</definedName>
    <definedName name="trading_ebita_multiple_x_low">Comparables!$C$20</definedName>
    <definedName name="trading_ebita_multiple_x_mid">Comparables!$D$20</definedName>
    <definedName name="trading_ebita_value_per_share_aud_high">Comparables!$E$29</definedName>
    <definedName name="trading_ebita_value_per_share_aud_low">Comparables!$C$29</definedName>
    <definedName name="trading_ebita_value_per_share_aud_mid">Comparables!$D$29</definedName>
    <definedName name="trading_ebitda_business_operations_value_aud_m_high">Comparables!$E$9</definedName>
    <definedName name="trading_ebitda_business_operations_value_aud_m_low">Comparables!$C$9</definedName>
    <definedName name="trading_ebitda_business_operations_value_aud_m_mid">Comparables!$D$9</definedName>
    <definedName name="trading_ebitda_control_premium_pct">Comparables!$C$8</definedName>
    <definedName name="trading_ebitda_diluted_shares_m_high">Comparables!$E$14</definedName>
    <definedName name="trading_ebitda_diluted_shares_m_low">Comparables!$C$14</definedName>
    <definedName name="trading_ebitda_diluted_shares_m_mid">Comparables!$D$14</definedName>
    <definedName name="trading_ebitda_earnings_aud_m">Comparables!$C$5</definedName>
    <definedName name="trading_ebitda_enterprise_value_aud_m_high">Comparables!$E$11</definedName>
    <definedName name="trading_ebitda_enterprise_value_aud_m_low">Comparables!$C$11</definedName>
    <definedName name="trading_ebitda_enterprise_value_aud_m_mid">Comparables!$D$11</definedName>
    <definedName name="trading_ebitda_equity_value_aud_m_high">Comparables!$E$13</definedName>
    <definedName name="trading_ebitda_equity_value_aud_m_low">Comparables!$C$13</definedName>
    <definedName name="trading_ebitda_equity_value_aud_m_mid">Comparables!$D$13</definedName>
    <definedName name="trading_ebitda_multiple_fy26_high_x">Assumptions!$C$36</definedName>
    <definedName name="trading_ebitda_multiple_fy26_low_x">Assumptions!$C$35</definedName>
    <definedName name="trading_ebitda_multiple_x_high">Comparables!$E$6</definedName>
    <definedName name="trading_ebitda_multiple_x_low">Comparables!$C$6</definedName>
    <definedName name="trading_ebitda_multiple_x_mid">Comparables!$D$6</definedName>
    <definedName name="trading_ebitda_value_per_share_aud_high">Comparables!$E$15</definedName>
    <definedName name="trading_ebitda_value_per_share_aud_low">Comparables!$C$15</definedName>
    <definedName name="trading_ebitda_value_per_share_aud_mid">Comparables!$D$15</definedName>
    <definedName name="treasury_shares_m">Assumptions!$C$48</definedName>
    <definedName name="undisturbed_share_price_aud">Assumptions!$C$54</definedName>
    <definedName name="valuation_date_ymd">Assumptions!$C$5:$E$5</definedName>
    <definedName name="wacc_at_expert_risk_free_pct_high">DCF!$D$98</definedName>
    <definedName name="wacc_at_expert_risk_free_pct_low">DCF!$C$98</definedName>
    <definedName name="wacc_pct_high">DCF!$D$88</definedName>
    <definedName name="wacc_pct_low">DCF!$C$88</definedName>
    <definedName name="working_capital_pct_of_revenue_pct">Assumptions!$C$17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5" l="1"/>
  <c r="C24" i="5"/>
  <c r="C21" i="5"/>
  <c r="C20" i="5"/>
  <c r="C19" i="5"/>
  <c r="C18" i="5"/>
  <c r="C14" i="5"/>
  <c r="C13" i="5"/>
  <c r="C12" i="5"/>
  <c r="D9" i="5"/>
  <c r="C9" i="5"/>
  <c r="F46" i="4"/>
  <c r="E46" i="4"/>
  <c r="D46" i="4"/>
  <c r="C46" i="4"/>
  <c r="F45" i="4"/>
  <c r="E45" i="4"/>
  <c r="D45" i="4"/>
  <c r="C45" i="4"/>
  <c r="F44" i="4"/>
  <c r="E44" i="4"/>
  <c r="D44" i="4"/>
  <c r="C44" i="4"/>
  <c r="E28" i="4"/>
  <c r="C28" i="4"/>
  <c r="E26" i="4"/>
  <c r="E24" i="4"/>
  <c r="D24" i="4"/>
  <c r="C24" i="4"/>
  <c r="E20" i="4"/>
  <c r="C20" i="4"/>
  <c r="D20" i="4" s="1"/>
  <c r="E19" i="4"/>
  <c r="E21" i="4" s="1"/>
  <c r="E23" i="4" s="1"/>
  <c r="E25" i="4" s="1"/>
  <c r="D19" i="4"/>
  <c r="D21" i="4" s="1"/>
  <c r="D23" i="4" s="1"/>
  <c r="D25" i="4" s="1"/>
  <c r="C19" i="4"/>
  <c r="C21" i="4" s="1"/>
  <c r="C23" i="4" s="1"/>
  <c r="C25" i="4" s="1"/>
  <c r="E10" i="4"/>
  <c r="D10" i="4"/>
  <c r="C10" i="4"/>
  <c r="E6" i="4"/>
  <c r="C6" i="4"/>
  <c r="D6" i="4" s="1"/>
  <c r="E5" i="4"/>
  <c r="E7" i="4" s="1"/>
  <c r="E9" i="4" s="1"/>
  <c r="E11" i="4" s="1"/>
  <c r="D5" i="4"/>
  <c r="D7" i="4" s="1"/>
  <c r="D9" i="4" s="1"/>
  <c r="D11" i="4" s="1"/>
  <c r="C5" i="4"/>
  <c r="C7" i="4" s="1"/>
  <c r="C9" i="4" s="1"/>
  <c r="C11" i="4" s="1"/>
  <c r="F45" i="3"/>
  <c r="E45" i="3"/>
  <c r="D45" i="3"/>
  <c r="C45" i="3"/>
  <c r="F44" i="3"/>
  <c r="E44" i="3"/>
  <c r="D44" i="3"/>
  <c r="C44" i="3"/>
  <c r="F43" i="3"/>
  <c r="E43" i="3"/>
  <c r="D43" i="3"/>
  <c r="C43" i="3"/>
  <c r="E28" i="3"/>
  <c r="C28" i="3"/>
  <c r="E26" i="3"/>
  <c r="D26" i="3"/>
  <c r="C26" i="3"/>
  <c r="E24" i="3"/>
  <c r="D24" i="3"/>
  <c r="C24" i="3"/>
  <c r="E22" i="3"/>
  <c r="D22" i="3"/>
  <c r="C22" i="3"/>
  <c r="E20" i="3"/>
  <c r="C20" i="3"/>
  <c r="D20" i="3" s="1"/>
  <c r="E19" i="3"/>
  <c r="D19" i="3"/>
  <c r="C19" i="3"/>
  <c r="E10" i="3"/>
  <c r="D10" i="3"/>
  <c r="C10" i="3"/>
  <c r="E8" i="3"/>
  <c r="D8" i="3"/>
  <c r="C8" i="3"/>
  <c r="E6" i="3"/>
  <c r="C6" i="3"/>
  <c r="D6" i="3" s="1"/>
  <c r="E5" i="3"/>
  <c r="E7" i="3" s="1"/>
  <c r="E9" i="3" s="1"/>
  <c r="E11" i="3" s="1"/>
  <c r="D5" i="3"/>
  <c r="D7" i="3" s="1"/>
  <c r="D9" i="3" s="1"/>
  <c r="D11" i="3" s="1"/>
  <c r="C5" i="3"/>
  <c r="C7" i="3" s="1"/>
  <c r="C9" i="3" s="1"/>
  <c r="C11" i="3" s="1"/>
  <c r="D97" i="2"/>
  <c r="C97" i="2"/>
  <c r="D93" i="2"/>
  <c r="C93" i="2"/>
  <c r="D92" i="2"/>
  <c r="C92" i="2"/>
  <c r="D91" i="2"/>
  <c r="C91" i="2"/>
  <c r="D87" i="2"/>
  <c r="C87" i="2"/>
  <c r="D83" i="2"/>
  <c r="C83" i="2"/>
  <c r="D82" i="2"/>
  <c r="C82" i="2"/>
  <c r="D81" i="2"/>
  <c r="D85" i="2" s="1"/>
  <c r="D86" i="2" s="1"/>
  <c r="C81" i="2"/>
  <c r="C85" i="2" s="1"/>
  <c r="C86" i="2" s="1"/>
  <c r="A73" i="2"/>
  <c r="A74" i="2" s="1"/>
  <c r="A75" i="2" s="1"/>
  <c r="A76" i="2" s="1"/>
  <c r="A77" i="2" s="1"/>
  <c r="C59" i="2"/>
  <c r="E40" i="2"/>
  <c r="C40" i="2"/>
  <c r="E38" i="2"/>
  <c r="D38" i="2"/>
  <c r="C38" i="2"/>
  <c r="E36" i="2"/>
  <c r="D36" i="2"/>
  <c r="C36" i="2"/>
  <c r="E29" i="2"/>
  <c r="D29" i="2"/>
  <c r="C29" i="2"/>
  <c r="E28" i="2"/>
  <c r="D28" i="2"/>
  <c r="C28" i="2"/>
  <c r="C23" i="2"/>
  <c r="C18" i="2"/>
  <c r="C15" i="2"/>
  <c r="C14" i="2"/>
  <c r="C12" i="2"/>
  <c r="C11" i="2"/>
  <c r="C9" i="2"/>
  <c r="C21" i="2" s="1"/>
  <c r="C8" i="2"/>
  <c r="C7" i="2"/>
  <c r="C13" i="2" s="1"/>
  <c r="C6" i="2"/>
  <c r="D5" i="2"/>
  <c r="C3" i="2"/>
  <c r="E27" i="4" l="1"/>
  <c r="E29" i="4" s="1"/>
  <c r="E21" i="3"/>
  <c r="E23" i="3" s="1"/>
  <c r="E25" i="3" s="1"/>
  <c r="E27" i="3" s="1"/>
  <c r="E29" i="3" s="1"/>
  <c r="D21" i="3"/>
  <c r="D23" i="3" s="1"/>
  <c r="D25" i="3" s="1"/>
  <c r="D27" i="3" s="1"/>
  <c r="C21" i="3"/>
  <c r="C23" i="3" s="1"/>
  <c r="C25" i="3" s="1"/>
  <c r="C27" i="3" s="1"/>
  <c r="C29" i="3" s="1"/>
  <c r="D84" i="2"/>
  <c r="C84" i="2"/>
  <c r="E14" i="4"/>
  <c r="E14" i="3"/>
  <c r="D40" i="2"/>
  <c r="C14" i="4"/>
  <c r="C14" i="3"/>
  <c r="D26" i="4"/>
  <c r="D27" i="4" s="1"/>
  <c r="C26" i="4"/>
  <c r="C27" i="4" s="1"/>
  <c r="C29" i="4" s="1"/>
  <c r="E12" i="4"/>
  <c r="E13" i="4" s="1"/>
  <c r="E15" i="4" s="1"/>
  <c r="D12" i="4"/>
  <c r="D13" i="4" s="1"/>
  <c r="C12" i="4"/>
  <c r="C13" i="4" s="1"/>
  <c r="C15" i="4" s="1"/>
  <c r="E12" i="3"/>
  <c r="E13" i="3" s="1"/>
  <c r="E15" i="3" s="1"/>
  <c r="D12" i="3"/>
  <c r="D13" i="3" s="1"/>
  <c r="C12" i="3"/>
  <c r="C13" i="3" s="1"/>
  <c r="C15" i="3" s="1"/>
  <c r="C15" i="5"/>
  <c r="D7" i="5"/>
  <c r="E14" i="5"/>
  <c r="C7" i="5"/>
  <c r="D14" i="5"/>
  <c r="D6" i="5"/>
  <c r="E13" i="5"/>
  <c r="C6" i="5"/>
  <c r="D13" i="5"/>
  <c r="D95" i="2"/>
  <c r="D96" i="2" s="1"/>
  <c r="D94" i="2"/>
  <c r="C95" i="2"/>
  <c r="C96" i="2" s="1"/>
  <c r="C94" i="2"/>
  <c r="C98" i="2" s="1"/>
  <c r="C26" i="5" s="1"/>
  <c r="C60" i="2"/>
  <c r="C72" i="2" s="1"/>
  <c r="D59" i="2"/>
  <c r="D14" i="3"/>
  <c r="D15" i="3" s="1"/>
  <c r="F13" i="5" s="1"/>
  <c r="E6" i="5" s="1"/>
  <c r="D28" i="3"/>
  <c r="D14" i="4"/>
  <c r="D15" i="4" s="1"/>
  <c r="F14" i="5" s="1"/>
  <c r="E7" i="5" s="1"/>
  <c r="D28" i="4"/>
  <c r="D29" i="4" s="1"/>
  <c r="B77" i="2"/>
  <c r="B76" i="2"/>
  <c r="B75" i="2"/>
  <c r="B74" i="2"/>
  <c r="B73" i="2"/>
  <c r="C20" i="2"/>
  <c r="C10" i="2"/>
  <c r="C19" i="2" s="1"/>
  <c r="D9" i="2"/>
  <c r="D8" i="2"/>
  <c r="D23" i="2"/>
  <c r="D18" i="2"/>
  <c r="D14" i="2"/>
  <c r="D11" i="2"/>
  <c r="D7" i="2"/>
  <c r="D13" i="2" s="1"/>
  <c r="D6" i="2"/>
  <c r="E5" i="2"/>
  <c r="C16" i="2"/>
  <c r="D88" i="2"/>
  <c r="D25" i="5" s="1"/>
  <c r="C88" i="2"/>
  <c r="C25" i="5" s="1"/>
  <c r="D29" i="3" l="1"/>
  <c r="E59" i="2"/>
  <c r="D60" i="2"/>
  <c r="D72" i="2" s="1"/>
  <c r="E8" i="2"/>
  <c r="E9" i="2"/>
  <c r="D10" i="2"/>
  <c r="D20" i="2"/>
  <c r="F5" i="2"/>
  <c r="E6" i="2"/>
  <c r="E7" i="2"/>
  <c r="E13" i="2" s="1"/>
  <c r="E11" i="2"/>
  <c r="E14" i="2"/>
  <c r="E18" i="2"/>
  <c r="E23" i="2"/>
  <c r="C17" i="2"/>
  <c r="C22" i="2" s="1"/>
  <c r="D98" i="2"/>
  <c r="D26" i="5" s="1"/>
  <c r="D21" i="2"/>
  <c r="F59" i="2" l="1"/>
  <c r="E60" i="2"/>
  <c r="E72" i="2" s="1"/>
  <c r="F8" i="2"/>
  <c r="F9" i="2"/>
  <c r="E10" i="2"/>
  <c r="E20" i="2"/>
  <c r="D12" i="2"/>
  <c r="D15" i="2"/>
  <c r="D19" i="2"/>
  <c r="G5" i="2"/>
  <c r="F6" i="2"/>
  <c r="F7" i="2"/>
  <c r="F13" i="2" s="1"/>
  <c r="F11" i="2"/>
  <c r="F14" i="2"/>
  <c r="F18" i="2"/>
  <c r="F23" i="2"/>
  <c r="E21" i="2"/>
  <c r="D16" i="2" l="1"/>
  <c r="D17" i="2" s="1"/>
  <c r="D22" i="2" s="1"/>
  <c r="G59" i="2"/>
  <c r="G60" i="2" s="1"/>
  <c r="G72" i="2" s="1"/>
  <c r="F60" i="2"/>
  <c r="F72" i="2" s="1"/>
  <c r="G8" i="2"/>
  <c r="G9" i="2"/>
  <c r="F10" i="2"/>
  <c r="F20" i="2"/>
  <c r="E12" i="2"/>
  <c r="E15" i="2"/>
  <c r="E19" i="2"/>
  <c r="H5" i="2"/>
  <c r="G6" i="2"/>
  <c r="G7" i="2"/>
  <c r="G13" i="2" s="1"/>
  <c r="G11" i="2"/>
  <c r="G14" i="2"/>
  <c r="G18" i="2"/>
  <c r="G23" i="2"/>
  <c r="F21" i="2"/>
  <c r="H8" i="2" l="1"/>
  <c r="H9" i="2"/>
  <c r="G10" i="2"/>
  <c r="G20" i="2"/>
  <c r="F12" i="2"/>
  <c r="F15" i="2"/>
  <c r="F19" i="2"/>
  <c r="I5" i="2"/>
  <c r="H6" i="2"/>
  <c r="H7" i="2"/>
  <c r="H13" i="2" s="1"/>
  <c r="H11" i="2"/>
  <c r="H14" i="2"/>
  <c r="H18" i="2"/>
  <c r="H23" i="2"/>
  <c r="G21" i="2"/>
  <c r="E16" i="2"/>
  <c r="I8" i="2" l="1"/>
  <c r="I9" i="2"/>
  <c r="H10" i="2"/>
  <c r="H20" i="2"/>
  <c r="G12" i="2"/>
  <c r="G15" i="2"/>
  <c r="G19" i="2"/>
  <c r="J5" i="2"/>
  <c r="I6" i="2"/>
  <c r="I7" i="2"/>
  <c r="I13" i="2" s="1"/>
  <c r="I11" i="2"/>
  <c r="I14" i="2"/>
  <c r="I18" i="2"/>
  <c r="I23" i="2"/>
  <c r="E17" i="2"/>
  <c r="E22" i="2" s="1"/>
  <c r="H21" i="2"/>
  <c r="F16" i="2"/>
  <c r="J8" i="2" l="1"/>
  <c r="J9" i="2"/>
  <c r="I10" i="2"/>
  <c r="I20" i="2"/>
  <c r="H12" i="2"/>
  <c r="H15" i="2"/>
  <c r="H19" i="2"/>
  <c r="K5" i="2"/>
  <c r="J6" i="2"/>
  <c r="J7" i="2"/>
  <c r="J13" i="2" s="1"/>
  <c r="J11" i="2"/>
  <c r="J14" i="2"/>
  <c r="J18" i="2"/>
  <c r="J23" i="2"/>
  <c r="F17" i="2"/>
  <c r="F22" i="2" s="1"/>
  <c r="I21" i="2"/>
  <c r="G16" i="2"/>
  <c r="K8" i="2" l="1"/>
  <c r="K9" i="2"/>
  <c r="J10" i="2"/>
  <c r="J20" i="2"/>
  <c r="I12" i="2"/>
  <c r="I15" i="2"/>
  <c r="I19" i="2"/>
  <c r="L5" i="2"/>
  <c r="K6" i="2"/>
  <c r="K7" i="2"/>
  <c r="K13" i="2" s="1"/>
  <c r="K11" i="2"/>
  <c r="K14" i="2"/>
  <c r="K18" i="2"/>
  <c r="K23" i="2"/>
  <c r="G17" i="2"/>
  <c r="G22" i="2" s="1"/>
  <c r="J21" i="2"/>
  <c r="H16" i="2"/>
  <c r="K21" i="2" l="1"/>
  <c r="L8" i="2"/>
  <c r="L9" i="2"/>
  <c r="K10" i="2"/>
  <c r="K20" i="2"/>
  <c r="J12" i="2"/>
  <c r="J15" i="2"/>
  <c r="J19" i="2"/>
  <c r="M5" i="2"/>
  <c r="L6" i="2"/>
  <c r="L7" i="2"/>
  <c r="L13" i="2" s="1"/>
  <c r="L11" i="2"/>
  <c r="L14" i="2"/>
  <c r="L18" i="2"/>
  <c r="L23" i="2"/>
  <c r="H17" i="2"/>
  <c r="H22" i="2" s="1"/>
  <c r="I16" i="2"/>
  <c r="J16" i="2" l="1"/>
  <c r="M8" i="2"/>
  <c r="M9" i="2"/>
  <c r="L10" i="2"/>
  <c r="L20" i="2"/>
  <c r="K12" i="2"/>
  <c r="K15" i="2"/>
  <c r="K19" i="2"/>
  <c r="J17" i="2"/>
  <c r="J22" i="2"/>
  <c r="D32" i="2"/>
  <c r="C32" i="2"/>
  <c r="E32" i="2"/>
  <c r="M6" i="2"/>
  <c r="M7" i="2"/>
  <c r="M13" i="2" s="1"/>
  <c r="M11" i="2"/>
  <c r="M14" i="2"/>
  <c r="M18" i="2"/>
  <c r="M23" i="2"/>
  <c r="I17" i="2"/>
  <c r="I22" i="2" s="1"/>
  <c r="L21" i="2"/>
  <c r="M10" i="2" l="1"/>
  <c r="M20" i="2"/>
  <c r="L12" i="2"/>
  <c r="L15" i="2"/>
  <c r="L19" i="2"/>
  <c r="C47" i="2"/>
  <c r="C63" i="2"/>
  <c r="D63" i="2"/>
  <c r="E63" i="2"/>
  <c r="F63" i="2"/>
  <c r="G63" i="2"/>
  <c r="M21" i="2"/>
  <c r="K16" i="2"/>
  <c r="M12" i="2" l="1"/>
  <c r="M15" i="2"/>
  <c r="M19" i="2"/>
  <c r="C45" i="2"/>
  <c r="C53" i="2"/>
  <c r="C61" i="2"/>
  <c r="D61" i="2"/>
  <c r="E61" i="2"/>
  <c r="F61" i="2"/>
  <c r="G61" i="2"/>
  <c r="C69" i="2"/>
  <c r="D69" i="2"/>
  <c r="E69" i="2"/>
  <c r="F69" i="2"/>
  <c r="G69" i="2"/>
  <c r="K17" i="2"/>
  <c r="K22" i="2" s="1"/>
  <c r="L16" i="2"/>
  <c r="C46" i="2" l="1"/>
  <c r="C48" i="2"/>
  <c r="C51" i="2"/>
  <c r="C52" i="2"/>
  <c r="C62" i="2"/>
  <c r="C64" i="2"/>
  <c r="C67" i="2"/>
  <c r="C68" i="2"/>
  <c r="D62" i="2"/>
  <c r="D64" i="2"/>
  <c r="D67" i="2"/>
  <c r="D68" i="2"/>
  <c r="E62" i="2"/>
  <c r="E64" i="2"/>
  <c r="E67" i="2"/>
  <c r="E68" i="2"/>
  <c r="F62" i="2"/>
  <c r="F64" i="2"/>
  <c r="F67" i="2"/>
  <c r="F68" i="2"/>
  <c r="G62" i="2"/>
  <c r="G64" i="2"/>
  <c r="G67" i="2"/>
  <c r="G68" i="2"/>
  <c r="L17" i="2"/>
  <c r="L22" i="2" s="1"/>
  <c r="M16" i="2"/>
  <c r="C65" i="2" l="1"/>
  <c r="C66" i="2"/>
  <c r="C70" i="2"/>
  <c r="M17" i="2"/>
  <c r="M22" i="2" s="1"/>
  <c r="D65" i="2"/>
  <c r="E65" i="2"/>
  <c r="G65" i="2"/>
  <c r="F65" i="2"/>
  <c r="C49" i="2"/>
  <c r="D66" i="2" l="1"/>
  <c r="D70" i="2" s="1"/>
  <c r="E66" i="2"/>
  <c r="E70" i="2" s="1"/>
  <c r="G66" i="2"/>
  <c r="G70" i="2" s="1"/>
  <c r="F66" i="2"/>
  <c r="F70" i="2" s="1"/>
  <c r="C50" i="2"/>
  <c r="C54" i="2" s="1"/>
  <c r="H74" i="2"/>
  <c r="H75" i="2"/>
  <c r="H77" i="2"/>
  <c r="D30" i="2"/>
  <c r="E30" i="2"/>
  <c r="C30" i="2"/>
  <c r="H73" i="2"/>
  <c r="H76" i="2"/>
  <c r="C31" i="2" l="1"/>
  <c r="C33" i="2" s="1"/>
  <c r="D31" i="2"/>
  <c r="D33" i="2" s="1"/>
  <c r="E31" i="2"/>
  <c r="E33" i="2" s="1"/>
  <c r="G74" i="2"/>
  <c r="F74" i="2"/>
  <c r="E74" i="2"/>
  <c r="D74" i="2"/>
  <c r="C74" i="2"/>
  <c r="G75" i="2"/>
  <c r="F75" i="2"/>
  <c r="E75" i="2"/>
  <c r="D75" i="2"/>
  <c r="C75" i="2"/>
  <c r="G77" i="2"/>
  <c r="F77" i="2"/>
  <c r="E77" i="2"/>
  <c r="D77" i="2"/>
  <c r="C77" i="2"/>
  <c r="G73" i="2"/>
  <c r="F73" i="2"/>
  <c r="E73" i="2"/>
  <c r="D73" i="2"/>
  <c r="C73" i="2"/>
  <c r="G76" i="2"/>
  <c r="F76" i="2"/>
  <c r="E76" i="2"/>
  <c r="D76" i="2"/>
  <c r="C76" i="2"/>
  <c r="C34" i="2" l="1"/>
  <c r="D34" i="2"/>
  <c r="E34" i="2"/>
  <c r="E37" i="2" s="1"/>
  <c r="E39" i="2" s="1"/>
  <c r="E41" i="2" s="1"/>
  <c r="E35" i="2"/>
  <c r="D5" i="5" l="1"/>
  <c r="E12" i="5"/>
  <c r="E15" i="5" s="1"/>
  <c r="D8" i="5" s="1"/>
  <c r="C37" i="2"/>
  <c r="C39" i="2" s="1"/>
  <c r="C41" i="2" s="1"/>
  <c r="C35" i="2"/>
  <c r="D37" i="2"/>
  <c r="D39" i="2" s="1"/>
  <c r="D41" i="2" s="1"/>
  <c r="F12" i="5" s="1"/>
  <c r="D35" i="2"/>
  <c r="D12" i="5" l="1"/>
  <c r="D15" i="5" s="1"/>
  <c r="C8" i="5" s="1"/>
  <c r="C5" i="5"/>
  <c r="E5" i="5"/>
  <c r="F15" i="5"/>
  <c r="E8" i="5" s="1"/>
</calcChain>
</file>

<file path=xl/sharedStrings.xml><?xml version="1.0" encoding="utf-8"?>
<sst xmlns="http://schemas.openxmlformats.org/spreadsheetml/2006/main" count="1215" uniqueCount="466">
  <si>
    <t>Assumptions</t>
  </si>
  <si>
    <t>Every input to the model, with the document, page and date it came from. Shaded cells are inputs: change one and the other sheets recalculate. A series sits in Value to Value 3. My own judgements are marked.</t>
  </si>
  <si>
    <t>Group</t>
  </si>
  <si>
    <t>Name</t>
  </si>
  <si>
    <t>Value</t>
  </si>
  <si>
    <t>Value 2</t>
  </si>
  <si>
    <t>Value 3</t>
  </si>
  <si>
    <t>Unit</t>
  </si>
  <si>
    <t>Source</t>
  </si>
  <si>
    <t>Location</t>
  </si>
  <si>
    <t>As at</t>
  </si>
  <si>
    <t>My judgement</t>
  </si>
  <si>
    <t>Note</t>
  </si>
  <si>
    <t>assumptions.yaml</t>
  </si>
  <si>
    <t>valuation_date_ymd</t>
  </si>
  <si>
    <t>year, month, day</t>
  </si>
  <si>
    <t>Domain scheme booklet, Grant Samuel report</t>
  </si>
  <si>
    <t>p. 135</t>
  </si>
  <si>
    <t>30 June 2025</t>
  </si>
  <si>
    <t>Balance sheet date; the DCF counts cash flows from 1 January 2025 and the value is cum the special dividend of up to 8.8 cents.</t>
  </si>
  <si>
    <t>projection_end_date_ymd</t>
  </si>
  <si>
    <t>p. 137</t>
  </si>
  <si>
    <t>Last explicit cash flow date; the terminal value is calculated at this date.</t>
  </si>
  <si>
    <t>stub_period_years</t>
  </si>
  <si>
    <t>years</t>
  </si>
  <si>
    <t>1 January 2025 to 30 June 2025, the second half of FY25, then ten full years from FY26 to FY35. This is my count from the printed start and end dates.</t>
  </si>
  <si>
    <t>fy25_revenue_aud_m</t>
  </si>
  <si>
    <t>aud_m</t>
  </si>
  <si>
    <t>p. 122 and p. 165, Appendix 1</t>
  </si>
  <si>
    <t>Median of 13 broker forecasts. Management's FY25 forecast is not published (p. 108), and the expert says the broker medians are close to it.</t>
  </si>
  <si>
    <t>fy25_ebitda_aud_m</t>
  </si>
  <si>
    <t>Median of 13 broker forecasts, before significant items.</t>
  </si>
  <si>
    <t>revenue_growth_fy26_to_fy35_pct</t>
  </si>
  <si>
    <t>pct</t>
  </si>
  <si>
    <t>p. 141</t>
  </si>
  <si>
    <t>yes</t>
  </si>
  <si>
    <t>The expert gives total revenue growth in Scenario A as "just over 9%" a year to over A$990 million in FY35. I use 9.0% a year, which takes 420.0 to 994.3 and agrees with "over 990". The expert's year-by-year path is not published.</t>
  </si>
  <si>
    <t>ebitda_margin_fy30_pct</t>
  </si>
  <si>
    <t>p. 142</t>
  </si>
  <si>
    <t>Scenario A. The margin rises from the FY25 broker median margin to this value by FY30; the path between is my straight line (see docs/DECISIONS.md).</t>
  </si>
  <si>
    <t>ebitda_margin_fy35_pct</t>
  </si>
  <si>
    <t>The expert says "just below 48%" in FY35. I use 47.9%.</t>
  </si>
  <si>
    <t>capex_pct_of_revenue_fy26_to_fy30_pct</t>
  </si>
  <si>
    <t>p. 142 and p. 125</t>
  </si>
  <si>
    <t>The expert says capital expenditure is higher in the early years "in line with FY24 and 1HY25", which were 9.5% and 9.6% of revenue (p. 125). I use the 1HY25 figure for FY26 to FY30. Its average of almost 9.5% for the whole period is not reproduced by this path, which averages 9.3%; I cannot tell from the booklet which years carry higher rates (UNVERIFIED).</t>
  </si>
  <si>
    <t>capex_pct_of_revenue_long_term_pct</t>
  </si>
  <si>
    <t>Applies from FY31 to FY35.</t>
  </si>
  <si>
    <t>fy25_depreciation_and_other_amortisation_aud_m</t>
  </si>
  <si>
    <t>p. 165, Appendix 1</t>
  </si>
  <si>
    <t>Median EBITDA of 146.3 less median EBITA of 115.8. It excludes amortisation of acquired intangible assets, which is 9.9 a year (p. 165).</t>
  </si>
  <si>
    <t>depreciation_pct_of_revenue_long_term_pct</t>
  </si>
  <si>
    <t>The expert says depreciation and other amortisation is initially less than capital expenditure and "approximately equal" after the early years. I set it equal to long-term capital expenditure and reach it by a straight line from FY25.</t>
  </si>
  <si>
    <t>working_capital_pct_of_revenue_pct</t>
  </si>
  <si>
    <t>p. 142 and p. 124</t>
  </si>
  <si>
    <t>Working capital as a share of revenue. I read it as a balance, so the cash flow each year is 2.5% of the change in revenue; p. 124 shows working capital at 2% to 3% of revenue.</t>
  </si>
  <si>
    <t>tax_rate_pct</t>
  </si>
  <si>
    <t>Corporate tax rate.</t>
  </si>
  <si>
    <t>terminal_growth_pct</t>
  </si>
  <si>
    <t>Based on long-term inflation of 2.5% a year and real growth in EBITDA.</t>
  </si>
  <si>
    <t>agent_dividend_pct_of_prior_year_revenue_pct</t>
  </si>
  <si>
    <t>Dividends to the agents who hold equity in Domain subsidiaries, as a share of the prior year's Residential and Media, Developers and Commercial revenue.</t>
  </si>
  <si>
    <t>residential_and_mdc_share_of_revenue_pct</t>
  </si>
  <si>
    <t>p. 120, revenue by business segment chart</t>
  </si>
  <si>
    <t>Residential plus Media, Developers and Commercial in LTM24 (282.4 + 50.9) over total segment revenue of 406.0. I hold it constant, because the booklet does not give the future mix.</t>
  </si>
  <si>
    <t>corporate_cost_saving_aud_m</t>
  </si>
  <si>
    <t>p. 143</t>
  </si>
  <si>
    <t>Saving on listed company costs available to any buyer, added to cash flow each year. The booklet does not say whether it grows, and I hold it flat.</t>
  </si>
  <si>
    <t>risk_free_rate_pct</t>
  </si>
  <si>
    <t>RBA statistical table F2, series FCMYGBAG10D (Source: RBA 2026, CC BY 4.0)</t>
  </si>
  <si>
    <t>row 30-May-2025, column Australian Government 10 year bond; data/extracted/market_rates_30_may_2025.csv</t>
  </si>
  <si>
    <t>30 May 2025</t>
  </si>
  <si>
    <t>10-year Commonwealth Government bond yield. On 5 October 2026 I chose this over the expert's 4.3% (and over 4.366%, the RBA yield at 31 December 2024). My DCF uses the expert's adopted discount rate range, so the 0.05 point difference does not change my value (docs/BASE_CASE.md, discount rate).</t>
  </si>
  <si>
    <t>expert_risk_free_rate_pct</t>
  </si>
  <si>
    <t>p. 139</t>
  </si>
  <si>
    <t>The expert's rate for the same date, kept for the cross-check against its scenario A and for the bridge. I do not know why it is 0.05 points above the RBA figure (UNVERIFIED).</t>
  </si>
  <si>
    <t>market_risk_premium_pct</t>
  </si>
  <si>
    <t>A standard rate the expert adopts; analysts typically use 5% to 7%.</t>
  </si>
  <si>
    <t>equity_beta_low</t>
  </si>
  <si>
    <t>beta</t>
  </si>
  <si>
    <t>p. 139 and p. 140</t>
  </si>
  <si>
    <t>Low end of the expert's judgement of an expected beta for Domain. The evidence it weighed runs from about 0.3 to 2.1 (data/extracted/discount_rate_evidence.csv).</t>
  </si>
  <si>
    <t>equity_beta_high</t>
  </si>
  <si>
    <t>High end of the same range.</t>
  </si>
  <si>
    <t>cost_of_debt_margin_over_risk_free_pct</t>
  </si>
  <si>
    <t>p. 140</t>
  </si>
  <si>
    <t>The pre-tax cost of debt is the risk-free rate plus this margin, which gives the expert's 5.5% at its 4.3% and 5.449% at 4.249%.</t>
  </si>
  <si>
    <t>equity_weight_low_pct</t>
  </si>
  <si>
    <t>Low end of the equity share of capital, from the gearing of comparable listed companies over four years and not Domain's own. Debt takes the rest.</t>
  </si>
  <si>
    <t>equity_weight_high_pct</t>
  </si>
  <si>
    <t>High end of the equity share of capital.</t>
  </si>
  <si>
    <t>discount_rate_low_pct</t>
  </si>
  <si>
    <t>p. 138 and p. 140</t>
  </si>
  <si>
    <t>The expert's adopted nominal discount rate range, used for the DCF. The WACC from the inputs above reproduces the expert's calculated range of 9.3% to 10.5%, and the report does not say why the adopted range starts at 9.5%.</t>
  </si>
  <si>
    <t>discount_rate_high_pct</t>
  </si>
  <si>
    <t>High end of the adopted range.</t>
  </si>
  <si>
    <t>fy26_adjusted_ebitda_aud_m</t>
  </si>
  <si>
    <t>p. 136 and p. 153</t>
  </si>
  <si>
    <t>Broker median FY26 EBITDA of 160.0 less 7.8 for the agents' share of earnings (dividends of 5.5 grossed up at 30% tax).</t>
  </si>
  <si>
    <t>fy26_adjusted_ebita_aud_m</t>
  </si>
  <si>
    <t>Broker median FY26 EBITA of 127.0 less the same 7.8.</t>
  </si>
  <si>
    <t>trading_ebitda_multiple_fy26_low_x</t>
  </si>
  <si>
    <t>times</t>
  </si>
  <si>
    <t>p. 150, forecast multiples charts</t>
  </si>
  <si>
    <t>SEEK's forecast EBITDA multiple, the lowest of the eight peers. The expert keeps SEEK (employment) and CAR Group (automotive) with caution as less comparable than the property marketplaces (pp. 140 and 151). I take the low end of the peer range because Domain is the number two portal with a 35.8% EBITDA margin against REA's 63% to 65% (p. 142). Chosen on 12 October 2026 in task P4-04; the expert's own implied 18.2x to 19.9x (p. 153) is not independent of its conclusion.</t>
  </si>
  <si>
    <t>trading_ebitda_multiple_fy26_high_x</t>
  </si>
  <si>
    <t>Rightmove's forecast EBITDA multiple, the second lowest of the eight peers and the lowest of the property marketplaces. Peer multiples come from minority share prices, so the control premium input applies to this range.</t>
  </si>
  <si>
    <t>trading_ebita_multiple_fy26_low_x</t>
  </si>
  <si>
    <t>The forecast EBITA multiple of the lower of the same two peers, Rightmove (19.4x). SEEK's is 23.8x, so the order is reversed on EBITA. These are the same two peers as the EBITDA range, not the two lowest on EBITA (CAR Group's 23.1x is second lowest); the football field uses EBITDA.</t>
  </si>
  <si>
    <t>trading_ebita_multiple_fy26_high_x</t>
  </si>
  <si>
    <t>SEEK's forecast EBITA multiple (23.8x), the higher of the same two peers.</t>
  </si>
  <si>
    <t>precedent_ebitda_multiple_fy26_low_x</t>
  </si>
  <si>
    <t>pp. 146 and 147, forecast multiples charts</t>
  </si>
  <si>
    <t>Trade Me (Apax, 2018) forecast EBITDA multiple, the lowest of the six deals with a forecast multiple once 58.com (12.9x) is dropped. Chosen on 12 October 2026 in task P4-04 as the six deals less the highest and the lowest. Printed chart labels from Grant Samuel's analysis; I have not checked them against primary sources.</t>
  </si>
  <si>
    <t>precedent_ebitda_multiple_fy26_high_x</t>
  </si>
  <si>
    <t>REA Group's proposal for Rightmove (2024) forecast EBITDA multiple, the highest once ZPG (25.1x) is dropped. Deal multiples are control multiples, so no control premium applies.</t>
  </si>
  <si>
    <t>precedent_ebita_multiple_fy26_low_x</t>
  </si>
  <si>
    <t>Trade Me's forecast EBITA multiple (17.9x), the lowest of the six deals once 58.com (13.7x) is dropped. Same rule as the EBITDA range.</t>
  </si>
  <si>
    <t>precedent_ebita_multiple_fy26_high_x</t>
  </si>
  <si>
    <t>Adevinta's forecast EBITA multiple (25.8x), the highest once ZPG (26.0x) is dropped.</t>
  </si>
  <si>
    <t>reported_net_debt_including_leases_aud_m</t>
  </si>
  <si>
    <t>p. 123 and p. 156</t>
  </si>
  <si>
    <t>31 December 2024</t>
  </si>
  <si>
    <t>Net debt including lease liabilities at the valuation date. It is the starting point of the expert's net debt build, and it is on a post-AASB 16 basis, consistent with the DCF.</t>
  </si>
  <si>
    <t>net_debt_adjustment_capitalised_borrowing_costs_aud_m</t>
  </si>
  <si>
    <t>p. 156</t>
  </si>
  <si>
    <t>Added to net debt because capitalised borrowing costs are accounting assets and the balance sheet shows debt net of them (p. 125).</t>
  </si>
  <si>
    <t>net_debt_adjustment_interim_dividend_aud_m</t>
  </si>
  <si>
    <t>p. 156 and p. 125</t>
  </si>
  <si>
    <t>11 March 2025</t>
  </si>
  <si>
    <t>The 2 cents a share interim dividend paid on 11 March 2025, which is cash out after the valuation date. Together with the two lines above it gives the adjusted net debt of 187.0.</t>
  </si>
  <si>
    <t>other_assets_and_liabilities_aud_m</t>
  </si>
  <si>
    <t>p. 155</t>
  </si>
  <si>
    <t>Equity accounted investments of 1.6, provisions of (0.8) and contingent consideration of (8.4). No value is given to unused tax losses (p. 155).</t>
  </si>
  <si>
    <t>ordinary_shares_on_issue_m</t>
  </si>
  <si>
    <t>million shares</t>
  </si>
  <si>
    <t>p. 126</t>
  </si>
  <si>
    <t>Includes 514,034 treasury shares.</t>
  </si>
  <si>
    <t>treasury_shares_m</t>
  </si>
  <si>
    <t>p. 131, footnote 43</t>
  </si>
  <si>
    <t>Used when share rights vest, before new shares are issued, so deducted from the diluted count.</t>
  </si>
  <si>
    <t>share_rights_vesting_low_m</t>
  </si>
  <si>
    <t>Share rights expected to vest at the low end of the expert's range.</t>
  </si>
  <si>
    <t>share_rights_vesting_high_m</t>
  </si>
  <si>
    <t>Fewer rights vest at the high end, because 1,057,858 rights vest only if performance tests at 30 June 2025 are met.</t>
  </si>
  <si>
    <t>share_rights_cash_settled_m</t>
  </si>
  <si>
    <t>Share rights settled in cash at A$4.43 as part of the scheme, counted in the diluted shares.</t>
  </si>
  <si>
    <t>offer_price_aud</t>
  </si>
  <si>
    <t>aud</t>
  </si>
  <si>
    <t>p. 103</t>
  </si>
  <si>
    <t>9 May 2025</t>
  </si>
  <si>
    <t>Cash consideration per share, including a fully franked special dividend of up to 8.8 cents.</t>
  </si>
  <si>
    <t>special_dividend_aud</t>
  </si>
  <si>
    <t>p. 103 and p. 135</t>
  </si>
  <si>
    <t>The expert's valuation is cum this dividend, so it is compared with the full A$4.43.</t>
  </si>
  <si>
    <t>undisturbed_share_price_aud</t>
  </si>
  <si>
    <t>p. 157</t>
  </si>
  <si>
    <t>20 February 2025</t>
  </si>
  <si>
    <t>Close on the last trading day before the original proposal.</t>
  </si>
  <si>
    <t>control_premium_typical_low_pct</t>
  </si>
  <si>
    <t>p. 133 and p. 158</t>
  </si>
  <si>
    <t>The low end of the premium the expert says is typical in Australian takeovers. It says premiums are an outcome and not a determinant of value, and that a substantial share of deals fall outside the range.</t>
  </si>
  <si>
    <t>control_premium_typical_high_pct</t>
  </si>
  <si>
    <t>The high end of the same range.</t>
  </si>
  <si>
    <t>listed_share_discount_to_underlying_low_pct</t>
  </si>
  <si>
    <t>p. 131</t>
  </si>
  <si>
    <t>Shares in a listed company normally trade at a discount of 15% to 25% to the value of the company as a whole, though not always.</t>
  </si>
  <si>
    <t>listed_share_discount_to_underlying_high_pct</t>
  </si>
  <si>
    <t>control_premium_applied_pct</t>
  </si>
  <si>
    <t>Chosen on 12 October 2026 in task P4-05 and applied to the trading method only, at enterprise value level. For Domain at the undisturbed price (equity about A$1,973m, adjusted net debt A$187.0m) 25% on enterprise value equals about 27.4% on the share price, close to the median premium of 27.5% in the RSM and Curtin study of 605 ASX takeovers (docs/RESEARCH.md section 4) and inside the expert's typical 20% to 35%.</t>
  </si>
  <si>
    <t>method_weight_dcf_pct</t>
  </si>
  <si>
    <t>My judgement, my answer of 12 October 2026 (task P4-06)</t>
  </si>
  <si>
    <t>p. 135 (the expert gives no weights)</t>
  </si>
  <si>
    <t>12 October 2026</t>
  </si>
  <si>
    <t>Weight of the DCF in my combined value. The expert gave both methods weight, used neither as a cross-check and says the approach cannot be reduced to a weighting calculation (p. 135), so these weights are mine and not a reading of its report. I chose 50/25/25 on 12 October 2026 from equal thirds, 50/25/25, 40/30/30 and the DCF alone (docs/BASE_CASE.md). The three weights add to 100.</t>
  </si>
  <si>
    <t>method_weight_trading_pct</t>
  </si>
  <si>
    <t>Weight of the trading comparables (with the control premium of task P4-05) in my combined value.</t>
  </si>
  <si>
    <t>method_weight_precedent_pct</t>
  </si>
  <si>
    <t>Weight of the precedent transactions in my combined value.</t>
  </si>
  <si>
    <t>expert_discount_rate_low_pct</t>
  </si>
  <si>
    <t>The expert's value of discount_rate_low_pct for the discount rate step of my gap bridge. It is the same value I seeded my own input with, and my own input may now differ.</t>
  </si>
  <si>
    <t>expert_discount_rate_high_pct</t>
  </si>
  <si>
    <t>The expert's value of discount_rate_high_pct for the discount rate step of my gap bridge. It is the same value I seeded my own input with, and my own input may now differ.</t>
  </si>
  <si>
    <t>expert_revenue_growth_fy26_to_fy35_pct</t>
  </si>
  <si>
    <t>The expert's value of revenue_growth_fy26_to_fy35_pct for the forecast step of my gap bridge. It is the same value I seeded my own input with, and my own input may now differ.</t>
  </si>
  <si>
    <t>expert_ebitda_margin_fy30_pct</t>
  </si>
  <si>
    <t>The expert's value of ebitda_margin_fy30_pct for the forecast step of my gap bridge. It is the same value I seeded my own input with, and my own input may now differ.</t>
  </si>
  <si>
    <t>expert_ebitda_margin_fy35_pct</t>
  </si>
  <si>
    <t>The expert's value of ebitda_margin_fy35_pct for the forecast step of my gap bridge. It is the same value I seeded my own input with, and my own input may now differ.</t>
  </si>
  <si>
    <t>expert_capex_pct_of_revenue_fy26_to_fy30_pct</t>
  </si>
  <si>
    <t>The expert's value of capex_pct_of_revenue_fy26_to_fy30_pct for the forecast step of my gap bridge. It is the same value I seeded my own input with, and my own input may now differ.</t>
  </si>
  <si>
    <t>expert_capex_pct_of_revenue_long_term_pct</t>
  </si>
  <si>
    <t>The expert's value of capex_pct_of_revenue_long_term_pct for the forecast step of my gap bridge. It is the same value I seeded my own input with, and my own input may now differ.</t>
  </si>
  <si>
    <t>expert_depreciation_pct_of_revenue_long_term_pct</t>
  </si>
  <si>
    <t>The expert's value of depreciation_pct_of_revenue_long_term_pct for the forecast step of my gap bridge. It is the same value I seeded my own input with, and my own input may now differ.</t>
  </si>
  <si>
    <t>expert_working_capital_pct_of_revenue_pct</t>
  </si>
  <si>
    <t>The expert's value of working_capital_pct_of_revenue_pct for the forecast step of my gap bridge. It is the same value I seeded my own input with, and my own input may now differ.</t>
  </si>
  <si>
    <t>expert_terminal_growth_pct</t>
  </si>
  <si>
    <t>The expert's value of terminal_growth_pct for the terminal growth step of my gap bridge. It is the same value I seeded my own input with, and my own input may now differ.</t>
  </si>
  <si>
    <t>expert_trading_ebitda_multiple_fy26_low_x</t>
  </si>
  <si>
    <t>p. 153</t>
  </si>
  <si>
    <t>The expert's selected range of A$2,775m to A$3,025m implies this multiple of FY26 adjusted EBITDA (p. 153). It is the output of its judgement and not an input, so I read the range as its position on both multiple methods for the bridge.</t>
  </si>
  <si>
    <t>expert_trading_ebitda_multiple_fy26_high_x</t>
  </si>
  <si>
    <t>expert_precedent_ebitda_multiple_fy26_low_x</t>
  </si>
  <si>
    <t>expert_precedent_ebitda_multiple_fy26_high_x</t>
  </si>
  <si>
    <t>expert_control_premium_applied_pct</t>
  </si>
  <si>
    <t>The expert's range is a value of the whole business on a control basis (pp. 131 and 153) and it applies no further premium to a multiple, so I represent its premium as zero for the bridge. That is my reading and not a number it prints.</t>
  </si>
  <si>
    <t>expert_method_weight_dcf_pct</t>
  </si>
  <si>
    <t>p. 135 and p. 153</t>
  </si>
  <si>
    <t>My reading of the expert's position for the gap bridge, not a figure it prints. The expert gave both methods weight and says its range cannot be reduced to a weighting calculation (p. 135), and its A$2,775m to A$3,025m is the range its implied multiples give (p. 153). On its own inputs that position matches the multiples methods, so I give the DCF no weight here.</t>
  </si>
  <si>
    <t>expert_method_weight_trading_pct</t>
  </si>
  <si>
    <t>My reading of the expert's position for the gap bridge, not a figure it prints. The split of the whole weight between trading and precedents is immaterial, because at the expert's inputs both methods have the same 18.2x to 19.9x range and no premium.</t>
  </si>
  <si>
    <t>expert_method_weight_precedent_pct</t>
  </si>
  <si>
    <t>mid_year_discounting_flag</t>
  </si>
  <si>
    <t>1 for mid-year, 0 for year end</t>
  </si>
  <si>
    <t>My judgement; the booklet does not state the expert's discounting convention</t>
  </si>
  <si>
    <t>p. 137 (silent)</t>
  </si>
  <si>
    <t>On 6 October 2026 I chose mid-year discounting, which treats each year's cash flow as arriving evenly through the year. The engine also computes year end, and the cross-check in task P3-17 reports both.</t>
  </si>
  <si>
    <t>sensitivity_rate_step_pct</t>
  </si>
  <si>
    <t>My choice of display grid; not from a document</t>
  </si>
  <si>
    <t>not applicable</t>
  </si>
  <si>
    <t>6 October 2026</t>
  </si>
  <si>
    <t>Spacing of the discount rates in the sensitivity table, either side of the middle of the expert's adopted 9.5% to 10.5% range.</t>
  </si>
  <si>
    <t>sensitivity_growth_step_pct</t>
  </si>
  <si>
    <t>Spacing of the terminal growth rates in the sensitivity table, either side of the 4.0% base.</t>
  </si>
  <si>
    <t>sensitivity_steps_each_side</t>
  </si>
  <si>
    <t>steps</t>
  </si>
  <si>
    <t>Two steps each side of the base case gives a table of five discount rates by five growth rates.</t>
  </si>
  <si>
    <t>data/extracted</t>
  </si>
  <si>
    <t>fy24_revenue_aud_m</t>
  </si>
  <si>
    <t>p. 118, section 3.5</t>
  </si>
  <si>
    <t>30 June 2024</t>
  </si>
  <si>
    <t>From data/extracted/historical_pnl.csv. Printed total</t>
  </si>
  <si>
    <t>first_half_fy25_revenue_aud_m</t>
  </si>
  <si>
    <t>first_half_fy25_ebitda_aud_m</t>
  </si>
  <si>
    <t>From data/extracted/historical_pnl.csv. Before significant items</t>
  </si>
  <si>
    <t>first_half_fy25_depreciation_and_other_amortisation_aud_m</t>
  </si>
  <si>
    <t>From data/extracted/historical_pnl.csv.</t>
  </si>
  <si>
    <t>expert_business_operations_value_aud_m_low</t>
  </si>
  <si>
    <t>p. 131 and p. 92, section 4.4</t>
  </si>
  <si>
    <t>From data/extracted/valuation_summary.csv. Net of agents' interests and corporate costs (p. 131 footnote 42). Valuation date 31 December 2024 (p. 135)</t>
  </si>
  <si>
    <t>expert_business_operations_value_aud_m_high</t>
  </si>
  <si>
    <t>From data/extracted/valuation_summary.csv.</t>
  </si>
  <si>
    <t>expert_value_per_share_aud_low</t>
  </si>
  <si>
    <t>p. 131 and p. 92</t>
  </si>
  <si>
    <t>From data/extracted/valuation_summary.csv. Printed to two decimals</t>
  </si>
  <si>
    <t>expert_value_per_share_aud_high</t>
  </si>
  <si>
    <t>model structure</t>
  </si>
  <si>
    <t>early_years_count</t>
  </si>
  <si>
    <t>The expert gives the EBITDA margin for FY30 (41%) and FY35 (just below 48%), so FY26 to FY30 are the five early years and my paths change slope after FY30.</t>
  </si>
  <si>
    <t>Discounted cash flow</t>
  </si>
  <si>
    <t>Every figure is a formula that reads the Assumptions sheet by name. Change an input there and this sheet recalculates.</t>
  </si>
  <si>
    <t>Full forecast years after the stub period</t>
  </si>
  <si>
    <t>Year of the projection end date less the year after the valuation date.</t>
  </si>
  <si>
    <t>Free cash flow forecast (A$ millions unless stated)</t>
  </si>
  <si>
    <t>Year after the stub period</t>
  </si>
  <si>
    <t>number</t>
  </si>
  <si>
    <t>Year 0 is the second half of FY25, which the cash flows start from.</t>
  </si>
  <si>
    <t>Period</t>
  </si>
  <si>
    <t>label</t>
  </si>
  <si>
    <t>Fiscal year label, from the valuation date.</t>
  </si>
  <si>
    <t>Fraction of a year in the period</t>
  </si>
  <si>
    <t>The stub period input for the first period; every later period is a full year.</t>
  </si>
  <si>
    <t>Full-year revenue</t>
  </si>
  <si>
    <t>A$m</t>
  </si>
  <si>
    <t>FY25 is the broker median; each later year grows at the revenue growth input.</t>
  </si>
  <si>
    <t>Prior full-year revenue</t>
  </si>
  <si>
    <t>The year before; used for the increase in working capital and the agents' dividends.</t>
  </si>
  <si>
    <t>Revenue in the period</t>
  </si>
  <si>
    <t>Stub revenue is the FY25 forecast less the first half already reported.</t>
  </si>
  <si>
    <t>EBITDA margin (full year)</t>
  </si>
  <si>
    <t>%</t>
  </si>
  <si>
    <t>Straight line from the FY25 margin to the FY30 margin, then to the FY35 margin.</t>
  </si>
  <si>
    <t>EBITDA</t>
  </si>
  <si>
    <t>Stub EBITDA is the FY25 forecast less the first half; later it is revenue times margin.</t>
  </si>
  <si>
    <t>Corporate cost saving</t>
  </si>
  <si>
    <t>The annual saving input, scaled by the part of the year in the period.</t>
  </si>
  <si>
    <t>Depreciation and amortisation (full year, % of revenue)</t>
  </si>
  <si>
    <t>Straight line from the FY25 share to the long-term share, reached after the early years.</t>
  </si>
  <si>
    <t>Depreciation and amortisation</t>
  </si>
  <si>
    <t>The first-half figure is stored as printed, a negative cost, so adding it removes it.</t>
  </si>
  <si>
    <t>Taxable profit</t>
  </si>
  <si>
    <t>EBITDA plus the saving, less depreciation; no deduction for acquired intangibles.</t>
  </si>
  <si>
    <t>Tax</t>
  </si>
  <si>
    <t>Taxable profit times the tax rate.</t>
  </si>
  <si>
    <t>Capital expenditure (% of revenue)</t>
  </si>
  <si>
    <t>The early-year share for the stub period and FY26 to FY30, then the long-term share.</t>
  </si>
  <si>
    <t>Capital expenditure</t>
  </si>
  <si>
    <t>Revenue in the period times the capital expenditure share.</t>
  </si>
  <si>
    <t>Increase in working capital</t>
  </si>
  <si>
    <t>The working capital share times the change in full-year revenue, scaled for the period.</t>
  </si>
  <si>
    <t>Dividends to agents</t>
  </si>
  <si>
    <t>Paid on the prior year's revenue of the segments the agents hold equity in.</t>
  </si>
  <si>
    <t>Free cash flow</t>
  </si>
  <si>
    <t>Profit after tax plus depreciation, less capital expenditure, working capital, dividends.</t>
  </si>
  <si>
    <t>Years from the valuation date to the cash flow</t>
  </si>
  <si>
    <t>Mid-year timing counts each flow from the middle of its period; year end, from the end.</t>
  </si>
  <si>
    <t>Value at three discount rates (A$ millions unless stated)</t>
  </si>
  <si>
    <t>Low case</t>
  </si>
  <si>
    <t>Mid case</t>
  </si>
  <si>
    <t>High case</t>
  </si>
  <si>
    <t>The low case discounts at the top of the range and uses more shares.</t>
  </si>
  <si>
    <t>Discount rate</t>
  </si>
  <si>
    <t>Low: top of the adopted range. Mid: its middle. High: bottom of the range.</t>
  </si>
  <si>
    <t>Terminal growth rate</t>
  </si>
  <si>
    <t>The terminal growth input, the same in all three cases.</t>
  </si>
  <si>
    <t>Present value of the cash flows</t>
  </si>
  <si>
    <t>Each free cash flow divided by one plus the rate, to the power of its time.</t>
  </si>
  <si>
    <t>Terminal value at the end of the forecast</t>
  </si>
  <si>
    <t>Gordon growth: the next flow over (rate less growth), raised for mid-year timing.</t>
  </si>
  <si>
    <t>Discount factor for the terminal value</t>
  </si>
  <si>
    <t>factor</t>
  </si>
  <si>
    <t>Discounted from the end of the forecast: the stub plus the full years.</t>
  </si>
  <si>
    <t>Present value of the terminal value</t>
  </si>
  <si>
    <t>Terminal value times its discount factor.</t>
  </si>
  <si>
    <t>Value of business operations</t>
  </si>
  <si>
    <t>Present value of the cash flows plus that of the terminal value.</t>
  </si>
  <si>
    <t>Terminal value share of operations value</t>
  </si>
  <si>
    <t>How much of the value comes after the forecast.</t>
  </si>
  <si>
    <t>Other assets and liabilities</t>
  </si>
  <si>
    <t>Equity accounted investments, provisions and contingent consideration.</t>
  </si>
  <si>
    <t>Enterprise value</t>
  </si>
  <si>
    <t>Operations value plus other assets and liabilities.</t>
  </si>
  <si>
    <t>Adjusted net debt</t>
  </si>
  <si>
    <t>Reported net debt including leases, plus the expert's two adjustments.</t>
  </si>
  <si>
    <t>Equity value</t>
  </si>
  <si>
    <t>Enterprise value less adjusted net debt.</t>
  </si>
  <si>
    <t>Diluted shares</t>
  </si>
  <si>
    <t>m</t>
  </si>
  <si>
    <t>Ordinary and cash-settled rights less treasury shares, plus rights that vest.</t>
  </si>
  <si>
    <t>Value per share</t>
  </si>
  <si>
    <t>A$</t>
  </si>
  <si>
    <t>Equity value over diluted shares.</t>
  </si>
  <si>
    <t>Free cash flow of the year after the forecast (terminal growth rate)</t>
  </si>
  <si>
    <t>Revenue</t>
  </si>
  <si>
    <t>Last forecast year's revenue grown at the terminal growth rate.</t>
  </si>
  <si>
    <t>The last forecast year's EBITDA margin is held.</t>
  </si>
  <si>
    <t>The last forecast year's saving.</t>
  </si>
  <si>
    <t>The long-term share of revenue.</t>
  </si>
  <si>
    <t>EBITDA plus the saving, less depreciation.</t>
  </si>
  <si>
    <t>The working capital share of the smaller revenue increase.</t>
  </si>
  <si>
    <t>Paid on the last forecast year's revenue.</t>
  </si>
  <si>
    <t>Free cash flow in the year after the forecast</t>
  </si>
  <si>
    <t>The cash flow the terminal value grows from.</t>
  </si>
  <si>
    <t>Sensitivity of the value per share to the rate and growth</t>
  </si>
  <si>
    <t>Steps from the base case</t>
  </si>
  <si>
    <t>From minus the steps each side to plus the steps each side.</t>
  </si>
  <si>
    <t>The terminal growth input, moved by the growth step.</t>
  </si>
  <si>
    <t>Last forecast year's revenue grown at the terminal growth rate. Repeated for each growth rate in the grid.</t>
  </si>
  <si>
    <t>The last forecast year's EBITDA margin is held. Repeated for each growth rate in the grid.</t>
  </si>
  <si>
    <t>The last forecast year's saving. Repeated for each growth rate in the grid.</t>
  </si>
  <si>
    <t>The long-term share of revenue. Repeated for each growth rate in the grid.</t>
  </si>
  <si>
    <t>EBITDA plus the saving, less depreciation. Repeated for each growth rate in the grid.</t>
  </si>
  <si>
    <t>Taxable profit times the tax rate. Repeated for each growth rate in the grid.</t>
  </si>
  <si>
    <t>The working capital share of the smaller revenue increase. Repeated for each growth rate in the grid.</t>
  </si>
  <si>
    <t>Paid on the last forecast year's revenue. Repeated for each growth rate in the grid.</t>
  </si>
  <si>
    <t>The cash flow the terminal value grows from. Repeated for each growth rate in the grid.</t>
  </si>
  <si>
    <t>Value per share (A$): discount rate down, terminal growth across</t>
  </si>
  <si>
    <t>PV of cash flows at the rate</t>
  </si>
  <si>
    <t>The terminal growth rates across the top repeat row 60.</t>
  </si>
  <si>
    <t>A full recalculation at this rate and growth, on the average share count. Column H holds the present value of the cash flows at the rate; column A, the steps from base.</t>
  </si>
  <si>
    <t>Discount rate build at my risk-free rate</t>
  </si>
  <si>
    <t>Risk-free rate</t>
  </si>
  <si>
    <t>The 10-year government bond yield.</t>
  </si>
  <si>
    <t>Equity beta</t>
  </si>
  <si>
    <t>The low and high ends of the expert's range.</t>
  </si>
  <si>
    <t>Market risk premium</t>
  </si>
  <si>
    <t>The market risk premium input.</t>
  </si>
  <si>
    <t>Cost of equity</t>
  </si>
  <si>
    <t>Risk-free rate plus beta times the premium.</t>
  </si>
  <si>
    <t>Pre-tax cost of debt</t>
  </si>
  <si>
    <t>Risk-free rate plus the debt margin.</t>
  </si>
  <si>
    <t>After-tax cost of debt</t>
  </si>
  <si>
    <t>Pre-tax cost less the tax shield.</t>
  </si>
  <si>
    <t>Equity weight</t>
  </si>
  <si>
    <t>Debt takes the rest of the capital structure.</t>
  </si>
  <si>
    <t>Weighted average cost of capital</t>
  </si>
  <si>
    <t>Weighted cost of equity and after-tax debt.</t>
  </si>
  <si>
    <t>Discount rate build at the expert's risk-free rate</t>
  </si>
  <si>
    <t>Trading comparables</t>
  </si>
  <si>
    <t>Domain valued at my selected peer multiple range times FY26 adjusted earnings. Peer multiples come from share prices at 30 May 2025 and carry no control premium.</t>
  </si>
  <si>
    <t>EBITDA multiple (A$ millions unless stated)</t>
  </si>
  <si>
    <t>FY26 adjusted EBITDA</t>
  </si>
  <si>
    <t>The expert's FY26 adjusted earnings, after the dividends to agents.</t>
  </si>
  <si>
    <t>Selected multiple</t>
  </si>
  <si>
    <t>x</t>
  </si>
  <si>
    <t>The low and high ends of my selected trading range; the mid case is their midpoint.</t>
  </si>
  <si>
    <t>Value before any control premium</t>
  </si>
  <si>
    <t>Earnings times the multiple.</t>
  </si>
  <si>
    <t>Control premium applied</t>
  </si>
  <si>
    <t>My control premium input, applied here only because peer multiples come from minority share prices.</t>
  </si>
  <si>
    <t>Value before premium grossed up by the premium.</t>
  </si>
  <si>
    <t>The same adjusted net debt as the DCF sheet.</t>
  </si>
  <si>
    <t>Larger count in the low case, the average in the mid case, as on the DCF sheet.</t>
  </si>
  <si>
    <t>EBITA multiple (A$ millions unless stated)</t>
  </si>
  <si>
    <t>FY26 adjusted EBITA</t>
  </si>
  <si>
    <t>The expert's peer multiples at 30 May 2025 (evidence)</t>
  </si>
  <si>
    <t>Company</t>
  </si>
  <si>
    <t>EBITDA, historical</t>
  </si>
  <si>
    <t>EBITDA, forecast</t>
  </si>
  <si>
    <t>EBITA, historical</t>
  </si>
  <si>
    <t>EBITA, forecast</t>
  </si>
  <si>
    <t>REA Group</t>
  </si>
  <si>
    <t>p. 150, EBITDA multiples chart; p. 150, EBITA multiples chart</t>
  </si>
  <si>
    <t>CAR Group</t>
  </si>
  <si>
    <t>SEEK</t>
  </si>
  <si>
    <t>Hemnet</t>
  </si>
  <si>
    <t>Scout24</t>
  </si>
  <si>
    <t>Rightmove</t>
  </si>
  <si>
    <t>Baltic Classifieds Group</t>
  </si>
  <si>
    <t>Vend Marketplaces</t>
  </si>
  <si>
    <t>Lowest</t>
  </si>
  <si>
    <t>Lowest of the column. Evidence only: the value above uses my selected range.</t>
  </si>
  <si>
    <t>Median</t>
  </si>
  <si>
    <t>Median of the column. Evidence only: the value above uses my selected range.</t>
  </si>
  <si>
    <t>Highest</t>
  </si>
  <si>
    <t>Highest of the column. Evidence only: the value above uses my selected range.</t>
  </si>
  <si>
    <t>Precedent transactions</t>
  </si>
  <si>
    <t>Domain valued at my selected deal multiple range times FY26 adjusted earnings. Deal multiples include a control premium.</t>
  </si>
  <si>
    <t>The low and high ends of my selected precedent range; the mid case is their midpoint.</t>
  </si>
  <si>
    <t>Deal multiples are control multiples, so no premium is applied.</t>
  </si>
  <si>
    <t>The expert's deal multiples (evidence)</t>
  </si>
  <si>
    <t>Deal</t>
  </si>
  <si>
    <t>Trade Me (2018)</t>
  </si>
  <si>
    <t>p. 146, EBITDA multiples chart; p. 147, EBITA multiples chart</t>
  </si>
  <si>
    <t>Idealista, 70% interest (2024)</t>
  </si>
  <si>
    <t>p. 146, EBITDA multiples chart</t>
  </si>
  <si>
    <t>Idealista (2020)</t>
  </si>
  <si>
    <t>ZPG (2018)</t>
  </si>
  <si>
    <t>Rightmove (2024)</t>
  </si>
  <si>
    <t>eBay Classifieds (2020)</t>
  </si>
  <si>
    <t>Adevinta (2023)</t>
  </si>
  <si>
    <t>Scout24 (2019)</t>
  </si>
  <si>
    <t>58.com (2020)</t>
  </si>
  <si>
    <t>Summary</t>
  </si>
  <si>
    <t>Value per share by method on the current inputs, with the offer and the expert's range.</t>
  </si>
  <si>
    <t>Value per share (A$)</t>
  </si>
  <si>
    <t>Low</t>
  </si>
  <si>
    <t>High</t>
  </si>
  <si>
    <t>Preferred</t>
  </si>
  <si>
    <t>From the method's own sheet and the combination below; the same figures as the chart.</t>
  </si>
  <si>
    <t>Trading comparables (EBITDA multiple)</t>
  </si>
  <si>
    <t>Precedent transactions (EBITDA multiple)</t>
  </si>
  <si>
    <t>My range (weighted combination)</t>
  </si>
  <si>
    <t>Independent expert</t>
  </si>
  <si>
    <t>The printed range. The expert gave a range only, so there is no preferred value.</t>
  </si>
  <si>
    <t>How the methods combine (A$ per share)</t>
  </si>
  <si>
    <t>Weight (%)</t>
  </si>
  <si>
    <t>The weight is my input. The preferred value is the method's mid case.</t>
  </si>
  <si>
    <t>Trading comparables (EBITDA multiple, with the control premium)</t>
  </si>
  <si>
    <t>My combined range</t>
  </si>
  <si>
    <t>Each column is the weights times the method values, over 100. The weights must add to 100.</t>
  </si>
  <si>
    <t>Reference prices</t>
  </si>
  <si>
    <t>Offer price</t>
  </si>
  <si>
    <t>Cash per share.</t>
  </si>
  <si>
    <t>Undisturbed share price</t>
  </si>
  <si>
    <t>Offer premium to the undisturbed price</t>
  </si>
  <si>
    <t>Offer over undisturbed price, less one.</t>
  </si>
  <si>
    <t>Midpoint of the expert's range</t>
  </si>
  <si>
    <t>My midpoint of the printed range. The expert published a range only.</t>
  </si>
  <si>
    <t>Discount rate range (%)</t>
  </si>
  <si>
    <t>Adopted range (my input)</t>
  </si>
  <si>
    <t>The range the DCF discounts at. It is an input, not the build below.</t>
  </si>
  <si>
    <t>Build at my risk-free rate</t>
  </si>
  <si>
    <t>WACC from the beta and gearing ranges at my risk-free rate (DCF sheet).</t>
  </si>
  <si>
    <t>Build at the expert's risk-free rate</t>
  </si>
  <si>
    <t>The same build at the expert's risk-free rate (DCF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</si>
</sst>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0.000"/>
    <numFmt numFmtId="167" formatCode="0.000"/>
    <numFmt numFmtId="168" formatCode="0.0"/>
  </numFmts>
  <fonts count="3" x14ac:knownFonts="1">
    <font>
      <sz val="11"/>
      <color theme="1"/>
      <name val="Calibri"/>
      <family val="2"/>
      <scheme val="minor"/>
    </font>
    <font>
      <b/>
      <sz val="14"/>
      <name val="Calibri"/>
    </font>
    <font>
      <b/>
      <sz val="11"/>
      <name val="Calibri"/>
    </font>
  </fonts>
  <fills count="4">
    <fill>
      <patternFill patternType="none"/>
    </fill>
    <fill>
      <patternFill patternType="gray125"/>
    </fill>
    <fill>
      <patternFill patternType="solid">
        <fgColor rgb="FFFFF2CC"/>
      </patternFill>
    </fill>
    <fill>
      <patternFill patternType="solid">
        <fgColor rgb="FFD9E1F2"/>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2" borderId="0" xfId="0" applyFill="1"/>
    <xf numFmtId="1" fontId="0" fillId="0" borderId="0" xfId="0" applyNumberFormat="1"/>
    <xf numFmtId="0" fontId="2" fillId="3" borderId="0" xfId="0" applyFont="1" applyFill="1"/>
    <xf numFmtId="2" fontId="0" fillId="0" borderId="0" xfId="0" applyNumberFormat="1"/>
    <xf numFmtId="164" fontId="0" fillId="0" borderId="0" xfId="0" applyNumberFormat="1"/>
    <xf numFmtId="164" fontId="2" fillId="0" borderId="0" xfId="0" applyNumberFormat="1" applyFont="1"/>
    <xf numFmtId="165" fontId="0" fillId="0" borderId="0" xfId="0" applyNumberFormat="1"/>
    <xf numFmtId="166" fontId="0" fillId="0" borderId="0" xfId="0" applyNumberFormat="1"/>
    <xf numFmtId="2" fontId="2" fillId="0" borderId="0" xfId="0" applyNumberFormat="1" applyFont="1"/>
    <xf numFmtId="167" fontId="0" fillId="0" borderId="0" xfId="0" applyNumberFormat="1"/>
    <xf numFmtId="168"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3"/>
  <sheetViews>
    <sheetView tabSelected="1" workbookViewId="0">
      <pane xSplit="2" ySplit="4" topLeftCell="C5" activePane="bottomRight" state="frozen"/>
      <selection pane="topRight"/>
      <selection pane="bottomLeft"/>
      <selection pane="bottomRight"/>
    </sheetView>
  </sheetViews>
  <sheetFormatPr defaultRowHeight="14.4" x14ac:dyDescent="0.3"/>
  <cols>
    <col min="1" max="1" width="22" customWidth="1"/>
    <col min="2" max="2" width="52" customWidth="1"/>
    <col min="3" max="3" width="14" customWidth="1"/>
    <col min="4" max="5" width="10" customWidth="1"/>
    <col min="6" max="6" width="18" customWidth="1"/>
    <col min="7" max="7" width="40" customWidth="1"/>
    <col min="8" max="8" width="28" customWidth="1"/>
    <col min="9" max="9" width="16" customWidth="1"/>
    <col min="10" max="10" width="14" customWidth="1"/>
    <col min="11" max="11" width="90" customWidth="1"/>
  </cols>
  <sheetData>
    <row r="1" spans="1:11" ht="18" x14ac:dyDescent="0.35">
      <c r="A1" s="1" t="s">
        <v>0</v>
      </c>
    </row>
    <row r="2" spans="1:11" x14ac:dyDescent="0.3">
      <c r="A2" t="s">
        <v>1</v>
      </c>
    </row>
    <row r="4" spans="1:11" x14ac:dyDescent="0.3">
      <c r="A4" s="2" t="s">
        <v>2</v>
      </c>
      <c r="B4" s="2" t="s">
        <v>3</v>
      </c>
      <c r="C4" s="2" t="s">
        <v>4</v>
      </c>
      <c r="D4" s="2" t="s">
        <v>5</v>
      </c>
      <c r="E4" s="2" t="s">
        <v>6</v>
      </c>
      <c r="F4" s="2" t="s">
        <v>7</v>
      </c>
      <c r="G4" s="2" t="s">
        <v>8</v>
      </c>
      <c r="H4" s="2" t="s">
        <v>9</v>
      </c>
      <c r="I4" s="2" t="s">
        <v>10</v>
      </c>
      <c r="J4" s="2" t="s">
        <v>11</v>
      </c>
      <c r="K4" s="2" t="s">
        <v>12</v>
      </c>
    </row>
    <row r="5" spans="1:11" x14ac:dyDescent="0.3">
      <c r="A5" t="s">
        <v>13</v>
      </c>
      <c r="B5" t="s">
        <v>14</v>
      </c>
      <c r="C5" s="3">
        <v>2024</v>
      </c>
      <c r="D5" s="3">
        <v>12</v>
      </c>
      <c r="E5" s="3">
        <v>31</v>
      </c>
      <c r="F5" t="s">
        <v>15</v>
      </c>
      <c r="G5" t="s">
        <v>16</v>
      </c>
      <c r="H5" t="s">
        <v>17</v>
      </c>
      <c r="I5" t="s">
        <v>18</v>
      </c>
      <c r="K5" t="s">
        <v>19</v>
      </c>
    </row>
    <row r="6" spans="1:11" x14ac:dyDescent="0.3">
      <c r="A6" t="s">
        <v>13</v>
      </c>
      <c r="B6" t="s">
        <v>20</v>
      </c>
      <c r="C6" s="3">
        <v>2035</v>
      </c>
      <c r="D6" s="3">
        <v>6</v>
      </c>
      <c r="E6" s="3">
        <v>30</v>
      </c>
      <c r="F6" t="s">
        <v>15</v>
      </c>
      <c r="G6" t="s">
        <v>16</v>
      </c>
      <c r="H6" t="s">
        <v>21</v>
      </c>
      <c r="I6" t="s">
        <v>18</v>
      </c>
      <c r="K6" t="s">
        <v>22</v>
      </c>
    </row>
    <row r="7" spans="1:11" x14ac:dyDescent="0.3">
      <c r="A7" t="s">
        <v>13</v>
      </c>
      <c r="B7" t="s">
        <v>23</v>
      </c>
      <c r="C7" s="3">
        <v>0.5</v>
      </c>
      <c r="F7" t="s">
        <v>24</v>
      </c>
      <c r="G7" t="s">
        <v>16</v>
      </c>
      <c r="H7" t="s">
        <v>21</v>
      </c>
      <c r="I7" t="s">
        <v>18</v>
      </c>
      <c r="K7" t="s">
        <v>25</v>
      </c>
    </row>
    <row r="8" spans="1:11" x14ac:dyDescent="0.3">
      <c r="A8" t="s">
        <v>13</v>
      </c>
      <c r="B8" t="s">
        <v>26</v>
      </c>
      <c r="C8" s="3">
        <v>420</v>
      </c>
      <c r="F8" t="s">
        <v>27</v>
      </c>
      <c r="G8" t="s">
        <v>16</v>
      </c>
      <c r="H8" t="s">
        <v>28</v>
      </c>
      <c r="I8" t="s">
        <v>18</v>
      </c>
      <c r="K8" t="s">
        <v>29</v>
      </c>
    </row>
    <row r="9" spans="1:11" x14ac:dyDescent="0.3">
      <c r="A9" t="s">
        <v>13</v>
      </c>
      <c r="B9" t="s">
        <v>30</v>
      </c>
      <c r="C9" s="3">
        <v>146.30000000000001</v>
      </c>
      <c r="F9" t="s">
        <v>27</v>
      </c>
      <c r="G9" t="s">
        <v>16</v>
      </c>
      <c r="H9" t="s">
        <v>28</v>
      </c>
      <c r="I9" t="s">
        <v>18</v>
      </c>
      <c r="K9" t="s">
        <v>31</v>
      </c>
    </row>
    <row r="10" spans="1:11" x14ac:dyDescent="0.3">
      <c r="A10" t="s">
        <v>13</v>
      </c>
      <c r="B10" t="s">
        <v>32</v>
      </c>
      <c r="C10" s="3">
        <v>9</v>
      </c>
      <c r="F10" t="s">
        <v>33</v>
      </c>
      <c r="G10" t="s">
        <v>16</v>
      </c>
      <c r="H10" t="s">
        <v>34</v>
      </c>
      <c r="I10" t="s">
        <v>18</v>
      </c>
      <c r="J10" t="s">
        <v>35</v>
      </c>
      <c r="K10" t="s">
        <v>36</v>
      </c>
    </row>
    <row r="11" spans="1:11" x14ac:dyDescent="0.3">
      <c r="A11" t="s">
        <v>13</v>
      </c>
      <c r="B11" t="s">
        <v>37</v>
      </c>
      <c r="C11" s="3">
        <v>41</v>
      </c>
      <c r="F11" t="s">
        <v>33</v>
      </c>
      <c r="G11" t="s">
        <v>16</v>
      </c>
      <c r="H11" t="s">
        <v>38</v>
      </c>
      <c r="I11" t="s">
        <v>18</v>
      </c>
      <c r="K11" t="s">
        <v>39</v>
      </c>
    </row>
    <row r="12" spans="1:11" x14ac:dyDescent="0.3">
      <c r="A12" t="s">
        <v>13</v>
      </c>
      <c r="B12" t="s">
        <v>40</v>
      </c>
      <c r="C12" s="3">
        <v>47.9</v>
      </c>
      <c r="F12" t="s">
        <v>33</v>
      </c>
      <c r="G12" t="s">
        <v>16</v>
      </c>
      <c r="H12" t="s">
        <v>38</v>
      </c>
      <c r="I12" t="s">
        <v>18</v>
      </c>
      <c r="J12" t="s">
        <v>35</v>
      </c>
      <c r="K12" t="s">
        <v>41</v>
      </c>
    </row>
    <row r="13" spans="1:11" x14ac:dyDescent="0.3">
      <c r="A13" t="s">
        <v>13</v>
      </c>
      <c r="B13" t="s">
        <v>42</v>
      </c>
      <c r="C13" s="3">
        <v>9.6</v>
      </c>
      <c r="F13" t="s">
        <v>33</v>
      </c>
      <c r="G13" t="s">
        <v>16</v>
      </c>
      <c r="H13" t="s">
        <v>43</v>
      </c>
      <c r="I13" t="s">
        <v>18</v>
      </c>
      <c r="J13" t="s">
        <v>35</v>
      </c>
      <c r="K13" t="s">
        <v>44</v>
      </c>
    </row>
    <row r="14" spans="1:11" x14ac:dyDescent="0.3">
      <c r="A14" t="s">
        <v>13</v>
      </c>
      <c r="B14" t="s">
        <v>45</v>
      </c>
      <c r="C14" s="3">
        <v>9</v>
      </c>
      <c r="F14" t="s">
        <v>33</v>
      </c>
      <c r="G14" t="s">
        <v>16</v>
      </c>
      <c r="H14" t="s">
        <v>38</v>
      </c>
      <c r="I14" t="s">
        <v>18</v>
      </c>
      <c r="K14" t="s">
        <v>46</v>
      </c>
    </row>
    <row r="15" spans="1:11" x14ac:dyDescent="0.3">
      <c r="A15" t="s">
        <v>13</v>
      </c>
      <c r="B15" t="s">
        <v>47</v>
      </c>
      <c r="C15" s="3">
        <v>30.5</v>
      </c>
      <c r="F15" t="s">
        <v>27</v>
      </c>
      <c r="G15" t="s">
        <v>16</v>
      </c>
      <c r="H15" t="s">
        <v>48</v>
      </c>
      <c r="I15" t="s">
        <v>18</v>
      </c>
      <c r="K15" t="s">
        <v>49</v>
      </c>
    </row>
    <row r="16" spans="1:11" x14ac:dyDescent="0.3">
      <c r="A16" t="s">
        <v>13</v>
      </c>
      <c r="B16" t="s">
        <v>50</v>
      </c>
      <c r="C16" s="3">
        <v>9</v>
      </c>
      <c r="F16" t="s">
        <v>33</v>
      </c>
      <c r="G16" t="s">
        <v>16</v>
      </c>
      <c r="H16" t="s">
        <v>38</v>
      </c>
      <c r="I16" t="s">
        <v>18</v>
      </c>
      <c r="J16" t="s">
        <v>35</v>
      </c>
      <c r="K16" t="s">
        <v>51</v>
      </c>
    </row>
    <row r="17" spans="1:11" x14ac:dyDescent="0.3">
      <c r="A17" t="s">
        <v>13</v>
      </c>
      <c r="B17" t="s">
        <v>52</v>
      </c>
      <c r="C17" s="3">
        <v>2.5</v>
      </c>
      <c r="F17" t="s">
        <v>33</v>
      </c>
      <c r="G17" t="s">
        <v>16</v>
      </c>
      <c r="H17" t="s">
        <v>53</v>
      </c>
      <c r="I17" t="s">
        <v>18</v>
      </c>
      <c r="K17" t="s">
        <v>54</v>
      </c>
    </row>
    <row r="18" spans="1:11" x14ac:dyDescent="0.3">
      <c r="A18" t="s">
        <v>13</v>
      </c>
      <c r="B18" t="s">
        <v>55</v>
      </c>
      <c r="C18" s="3">
        <v>30</v>
      </c>
      <c r="F18" t="s">
        <v>33</v>
      </c>
      <c r="G18" t="s">
        <v>16</v>
      </c>
      <c r="H18" t="s">
        <v>38</v>
      </c>
      <c r="I18" t="s">
        <v>18</v>
      </c>
      <c r="K18" t="s">
        <v>56</v>
      </c>
    </row>
    <row r="19" spans="1:11" x14ac:dyDescent="0.3">
      <c r="A19" t="s">
        <v>13</v>
      </c>
      <c r="B19" t="s">
        <v>57</v>
      </c>
      <c r="C19" s="3">
        <v>4</v>
      </c>
      <c r="F19" t="s">
        <v>33</v>
      </c>
      <c r="G19" t="s">
        <v>16</v>
      </c>
      <c r="H19" t="s">
        <v>38</v>
      </c>
      <c r="I19" t="s">
        <v>18</v>
      </c>
      <c r="K19" t="s">
        <v>58</v>
      </c>
    </row>
    <row r="20" spans="1:11" x14ac:dyDescent="0.3">
      <c r="A20" t="s">
        <v>13</v>
      </c>
      <c r="B20" t="s">
        <v>59</v>
      </c>
      <c r="C20" s="3">
        <v>1.6</v>
      </c>
      <c r="F20" t="s">
        <v>33</v>
      </c>
      <c r="G20" t="s">
        <v>16</v>
      </c>
      <c r="H20" t="s">
        <v>38</v>
      </c>
      <c r="I20" t="s">
        <v>18</v>
      </c>
      <c r="K20" t="s">
        <v>60</v>
      </c>
    </row>
    <row r="21" spans="1:11" x14ac:dyDescent="0.3">
      <c r="A21" t="s">
        <v>13</v>
      </c>
      <c r="B21" t="s">
        <v>61</v>
      </c>
      <c r="C21" s="3">
        <v>82.1</v>
      </c>
      <c r="F21" t="s">
        <v>33</v>
      </c>
      <c r="G21" t="s">
        <v>16</v>
      </c>
      <c r="H21" t="s">
        <v>62</v>
      </c>
      <c r="I21" t="s">
        <v>18</v>
      </c>
      <c r="J21" t="s">
        <v>35</v>
      </c>
      <c r="K21" t="s">
        <v>63</v>
      </c>
    </row>
    <row r="22" spans="1:11" x14ac:dyDescent="0.3">
      <c r="A22" t="s">
        <v>13</v>
      </c>
      <c r="B22" t="s">
        <v>64</v>
      </c>
      <c r="C22" s="3">
        <v>4</v>
      </c>
      <c r="F22" t="s">
        <v>27</v>
      </c>
      <c r="G22" t="s">
        <v>16</v>
      </c>
      <c r="H22" t="s">
        <v>65</v>
      </c>
      <c r="I22" t="s">
        <v>18</v>
      </c>
      <c r="K22" t="s">
        <v>66</v>
      </c>
    </row>
    <row r="23" spans="1:11" x14ac:dyDescent="0.3">
      <c r="A23" t="s">
        <v>13</v>
      </c>
      <c r="B23" t="s">
        <v>67</v>
      </c>
      <c r="C23" s="3">
        <v>4.2489999999999997</v>
      </c>
      <c r="F23" t="s">
        <v>33</v>
      </c>
      <c r="G23" t="s">
        <v>68</v>
      </c>
      <c r="H23" t="s">
        <v>69</v>
      </c>
      <c r="I23" t="s">
        <v>70</v>
      </c>
      <c r="K23" t="s">
        <v>71</v>
      </c>
    </row>
    <row r="24" spans="1:11" x14ac:dyDescent="0.3">
      <c r="A24" t="s">
        <v>13</v>
      </c>
      <c r="B24" t="s">
        <v>72</v>
      </c>
      <c r="C24" s="3">
        <v>4.3</v>
      </c>
      <c r="F24" t="s">
        <v>33</v>
      </c>
      <c r="G24" t="s">
        <v>16</v>
      </c>
      <c r="H24" t="s">
        <v>73</v>
      </c>
      <c r="I24" t="s">
        <v>70</v>
      </c>
      <c r="K24" t="s">
        <v>74</v>
      </c>
    </row>
    <row r="25" spans="1:11" x14ac:dyDescent="0.3">
      <c r="A25" t="s">
        <v>13</v>
      </c>
      <c r="B25" t="s">
        <v>75</v>
      </c>
      <c r="C25" s="3">
        <v>6</v>
      </c>
      <c r="F25" t="s">
        <v>33</v>
      </c>
      <c r="G25" t="s">
        <v>16</v>
      </c>
      <c r="H25" t="s">
        <v>73</v>
      </c>
      <c r="I25" t="s">
        <v>70</v>
      </c>
      <c r="K25" t="s">
        <v>76</v>
      </c>
    </row>
    <row r="26" spans="1:11" x14ac:dyDescent="0.3">
      <c r="A26" t="s">
        <v>13</v>
      </c>
      <c r="B26" t="s">
        <v>77</v>
      </c>
      <c r="C26" s="3">
        <v>1</v>
      </c>
      <c r="F26" t="s">
        <v>78</v>
      </c>
      <c r="G26" t="s">
        <v>16</v>
      </c>
      <c r="H26" t="s">
        <v>79</v>
      </c>
      <c r="I26" t="s">
        <v>70</v>
      </c>
      <c r="K26" t="s">
        <v>80</v>
      </c>
    </row>
    <row r="27" spans="1:11" x14ac:dyDescent="0.3">
      <c r="A27" t="s">
        <v>13</v>
      </c>
      <c r="B27" t="s">
        <v>81</v>
      </c>
      <c r="C27" s="3">
        <v>1.1000000000000001</v>
      </c>
      <c r="F27" t="s">
        <v>78</v>
      </c>
      <c r="G27" t="s">
        <v>16</v>
      </c>
      <c r="H27" t="s">
        <v>79</v>
      </c>
      <c r="I27" t="s">
        <v>70</v>
      </c>
      <c r="K27" t="s">
        <v>82</v>
      </c>
    </row>
    <row r="28" spans="1:11" x14ac:dyDescent="0.3">
      <c r="A28" t="s">
        <v>13</v>
      </c>
      <c r="B28" t="s">
        <v>83</v>
      </c>
      <c r="C28" s="3">
        <v>1.2</v>
      </c>
      <c r="F28" t="s">
        <v>33</v>
      </c>
      <c r="G28" t="s">
        <v>16</v>
      </c>
      <c r="H28" t="s">
        <v>84</v>
      </c>
      <c r="I28" t="s">
        <v>70</v>
      </c>
      <c r="K28" t="s">
        <v>85</v>
      </c>
    </row>
    <row r="29" spans="1:11" x14ac:dyDescent="0.3">
      <c r="A29" t="s">
        <v>13</v>
      </c>
      <c r="B29" t="s">
        <v>86</v>
      </c>
      <c r="C29" s="3">
        <v>85</v>
      </c>
      <c r="F29" t="s">
        <v>33</v>
      </c>
      <c r="G29" t="s">
        <v>16</v>
      </c>
      <c r="H29" t="s">
        <v>84</v>
      </c>
      <c r="I29" t="s">
        <v>70</v>
      </c>
      <c r="K29" t="s">
        <v>87</v>
      </c>
    </row>
    <row r="30" spans="1:11" x14ac:dyDescent="0.3">
      <c r="A30" t="s">
        <v>13</v>
      </c>
      <c r="B30" t="s">
        <v>88</v>
      </c>
      <c r="C30" s="3">
        <v>95</v>
      </c>
      <c r="F30" t="s">
        <v>33</v>
      </c>
      <c r="G30" t="s">
        <v>16</v>
      </c>
      <c r="H30" t="s">
        <v>84</v>
      </c>
      <c r="I30" t="s">
        <v>70</v>
      </c>
      <c r="K30" t="s">
        <v>89</v>
      </c>
    </row>
    <row r="31" spans="1:11" x14ac:dyDescent="0.3">
      <c r="A31" t="s">
        <v>13</v>
      </c>
      <c r="B31" t="s">
        <v>90</v>
      </c>
      <c r="C31" s="3">
        <v>9.5</v>
      </c>
      <c r="F31" t="s">
        <v>33</v>
      </c>
      <c r="G31" t="s">
        <v>16</v>
      </c>
      <c r="H31" t="s">
        <v>91</v>
      </c>
      <c r="I31" t="s">
        <v>70</v>
      </c>
      <c r="K31" t="s">
        <v>92</v>
      </c>
    </row>
    <row r="32" spans="1:11" x14ac:dyDescent="0.3">
      <c r="A32" t="s">
        <v>13</v>
      </c>
      <c r="B32" t="s">
        <v>93</v>
      </c>
      <c r="C32" s="3">
        <v>10.5</v>
      </c>
      <c r="F32" t="s">
        <v>33</v>
      </c>
      <c r="G32" t="s">
        <v>16</v>
      </c>
      <c r="H32" t="s">
        <v>91</v>
      </c>
      <c r="I32" t="s">
        <v>70</v>
      </c>
      <c r="K32" t="s">
        <v>94</v>
      </c>
    </row>
    <row r="33" spans="1:11" x14ac:dyDescent="0.3">
      <c r="A33" t="s">
        <v>13</v>
      </c>
      <c r="B33" t="s">
        <v>95</v>
      </c>
      <c r="C33" s="3">
        <v>152.19999999999999</v>
      </c>
      <c r="F33" t="s">
        <v>27</v>
      </c>
      <c r="G33" t="s">
        <v>16</v>
      </c>
      <c r="H33" t="s">
        <v>96</v>
      </c>
      <c r="I33" t="s">
        <v>18</v>
      </c>
      <c r="K33" t="s">
        <v>97</v>
      </c>
    </row>
    <row r="34" spans="1:11" x14ac:dyDescent="0.3">
      <c r="A34" t="s">
        <v>13</v>
      </c>
      <c r="B34" t="s">
        <v>98</v>
      </c>
      <c r="C34" s="3">
        <v>119.2</v>
      </c>
      <c r="F34" t="s">
        <v>27</v>
      </c>
      <c r="G34" t="s">
        <v>16</v>
      </c>
      <c r="H34" t="s">
        <v>96</v>
      </c>
      <c r="I34" t="s">
        <v>18</v>
      </c>
      <c r="K34" t="s">
        <v>99</v>
      </c>
    </row>
    <row r="35" spans="1:11" x14ac:dyDescent="0.3">
      <c r="A35" t="s">
        <v>13</v>
      </c>
      <c r="B35" t="s">
        <v>100</v>
      </c>
      <c r="C35" s="3">
        <v>16.3</v>
      </c>
      <c r="F35" t="s">
        <v>101</v>
      </c>
      <c r="G35" t="s">
        <v>16</v>
      </c>
      <c r="H35" t="s">
        <v>102</v>
      </c>
      <c r="I35" t="s">
        <v>70</v>
      </c>
      <c r="J35" t="s">
        <v>35</v>
      </c>
      <c r="K35" t="s">
        <v>103</v>
      </c>
    </row>
    <row r="36" spans="1:11" x14ac:dyDescent="0.3">
      <c r="A36" t="s">
        <v>13</v>
      </c>
      <c r="B36" t="s">
        <v>104</v>
      </c>
      <c r="C36" s="3">
        <v>19.100000000000001</v>
      </c>
      <c r="F36" t="s">
        <v>101</v>
      </c>
      <c r="G36" t="s">
        <v>16</v>
      </c>
      <c r="H36" t="s">
        <v>102</v>
      </c>
      <c r="I36" t="s">
        <v>70</v>
      </c>
      <c r="J36" t="s">
        <v>35</v>
      </c>
      <c r="K36" t="s">
        <v>105</v>
      </c>
    </row>
    <row r="37" spans="1:11" x14ac:dyDescent="0.3">
      <c r="A37" t="s">
        <v>13</v>
      </c>
      <c r="B37" t="s">
        <v>106</v>
      </c>
      <c r="C37" s="3">
        <v>19.399999999999999</v>
      </c>
      <c r="F37" t="s">
        <v>101</v>
      </c>
      <c r="G37" t="s">
        <v>16</v>
      </c>
      <c r="H37" t="s">
        <v>102</v>
      </c>
      <c r="I37" t="s">
        <v>70</v>
      </c>
      <c r="J37" t="s">
        <v>35</v>
      </c>
      <c r="K37" t="s">
        <v>107</v>
      </c>
    </row>
    <row r="38" spans="1:11" x14ac:dyDescent="0.3">
      <c r="A38" t="s">
        <v>13</v>
      </c>
      <c r="B38" t="s">
        <v>108</v>
      </c>
      <c r="C38" s="3">
        <v>23.8</v>
      </c>
      <c r="F38" t="s">
        <v>101</v>
      </c>
      <c r="G38" t="s">
        <v>16</v>
      </c>
      <c r="H38" t="s">
        <v>102</v>
      </c>
      <c r="I38" t="s">
        <v>70</v>
      </c>
      <c r="J38" t="s">
        <v>35</v>
      </c>
      <c r="K38" t="s">
        <v>109</v>
      </c>
    </row>
    <row r="39" spans="1:11" x14ac:dyDescent="0.3">
      <c r="A39" t="s">
        <v>13</v>
      </c>
      <c r="B39" t="s">
        <v>110</v>
      </c>
      <c r="C39" s="3">
        <v>15.2</v>
      </c>
      <c r="F39" t="s">
        <v>101</v>
      </c>
      <c r="G39" t="s">
        <v>16</v>
      </c>
      <c r="H39" t="s">
        <v>111</v>
      </c>
      <c r="I39" t="s">
        <v>18</v>
      </c>
      <c r="J39" t="s">
        <v>35</v>
      </c>
      <c r="K39" t="s">
        <v>112</v>
      </c>
    </row>
    <row r="40" spans="1:11" x14ac:dyDescent="0.3">
      <c r="A40" t="s">
        <v>13</v>
      </c>
      <c r="B40" t="s">
        <v>113</v>
      </c>
      <c r="C40" s="3">
        <v>22.3</v>
      </c>
      <c r="F40" t="s">
        <v>101</v>
      </c>
      <c r="G40" t="s">
        <v>16</v>
      </c>
      <c r="H40" t="s">
        <v>111</v>
      </c>
      <c r="I40" t="s">
        <v>18</v>
      </c>
      <c r="J40" t="s">
        <v>35</v>
      </c>
      <c r="K40" t="s">
        <v>114</v>
      </c>
    </row>
    <row r="41" spans="1:11" x14ac:dyDescent="0.3">
      <c r="A41" t="s">
        <v>13</v>
      </c>
      <c r="B41" t="s">
        <v>115</v>
      </c>
      <c r="C41" s="3">
        <v>17.899999999999999</v>
      </c>
      <c r="F41" t="s">
        <v>101</v>
      </c>
      <c r="G41" t="s">
        <v>16</v>
      </c>
      <c r="H41" t="s">
        <v>111</v>
      </c>
      <c r="I41" t="s">
        <v>18</v>
      </c>
      <c r="J41" t="s">
        <v>35</v>
      </c>
      <c r="K41" t="s">
        <v>116</v>
      </c>
    </row>
    <row r="42" spans="1:11" x14ac:dyDescent="0.3">
      <c r="A42" t="s">
        <v>13</v>
      </c>
      <c r="B42" t="s">
        <v>117</v>
      </c>
      <c r="C42" s="3">
        <v>25.8</v>
      </c>
      <c r="F42" t="s">
        <v>101</v>
      </c>
      <c r="G42" t="s">
        <v>16</v>
      </c>
      <c r="H42" t="s">
        <v>111</v>
      </c>
      <c r="I42" t="s">
        <v>18</v>
      </c>
      <c r="J42" t="s">
        <v>35</v>
      </c>
      <c r="K42" t="s">
        <v>118</v>
      </c>
    </row>
    <row r="43" spans="1:11" x14ac:dyDescent="0.3">
      <c r="A43" t="s">
        <v>13</v>
      </c>
      <c r="B43" t="s">
        <v>119</v>
      </c>
      <c r="C43" s="3">
        <v>173.2</v>
      </c>
      <c r="F43" t="s">
        <v>27</v>
      </c>
      <c r="G43" t="s">
        <v>16</v>
      </c>
      <c r="H43" t="s">
        <v>120</v>
      </c>
      <c r="I43" t="s">
        <v>121</v>
      </c>
      <c r="K43" t="s">
        <v>122</v>
      </c>
    </row>
    <row r="44" spans="1:11" x14ac:dyDescent="0.3">
      <c r="A44" t="s">
        <v>13</v>
      </c>
      <c r="B44" t="s">
        <v>123</v>
      </c>
      <c r="C44" s="3">
        <v>1.2</v>
      </c>
      <c r="F44" t="s">
        <v>27</v>
      </c>
      <c r="G44" t="s">
        <v>16</v>
      </c>
      <c r="H44" t="s">
        <v>124</v>
      </c>
      <c r="I44" t="s">
        <v>121</v>
      </c>
      <c r="K44" t="s">
        <v>125</v>
      </c>
    </row>
    <row r="45" spans="1:11" x14ac:dyDescent="0.3">
      <c r="A45" t="s">
        <v>13</v>
      </c>
      <c r="B45" t="s">
        <v>126</v>
      </c>
      <c r="C45" s="3">
        <v>12.6</v>
      </c>
      <c r="F45" t="s">
        <v>27</v>
      </c>
      <c r="G45" t="s">
        <v>16</v>
      </c>
      <c r="H45" t="s">
        <v>127</v>
      </c>
      <c r="I45" t="s">
        <v>128</v>
      </c>
      <c r="K45" t="s">
        <v>129</v>
      </c>
    </row>
    <row r="46" spans="1:11" x14ac:dyDescent="0.3">
      <c r="A46" t="s">
        <v>13</v>
      </c>
      <c r="B46" t="s">
        <v>130</v>
      </c>
      <c r="C46" s="3">
        <v>-7.6</v>
      </c>
      <c r="F46" t="s">
        <v>27</v>
      </c>
      <c r="G46" t="s">
        <v>16</v>
      </c>
      <c r="H46" t="s">
        <v>131</v>
      </c>
      <c r="I46" t="s">
        <v>121</v>
      </c>
      <c r="K46" t="s">
        <v>132</v>
      </c>
    </row>
    <row r="47" spans="1:11" x14ac:dyDescent="0.3">
      <c r="A47" t="s">
        <v>13</v>
      </c>
      <c r="B47" t="s">
        <v>133</v>
      </c>
      <c r="C47" s="3">
        <v>631.65715299999999</v>
      </c>
      <c r="F47" t="s">
        <v>134</v>
      </c>
      <c r="G47" t="s">
        <v>16</v>
      </c>
      <c r="H47" t="s">
        <v>135</v>
      </c>
      <c r="I47" t="s">
        <v>18</v>
      </c>
      <c r="K47" t="s">
        <v>136</v>
      </c>
    </row>
    <row r="48" spans="1:11" x14ac:dyDescent="0.3">
      <c r="A48" t="s">
        <v>13</v>
      </c>
      <c r="B48" t="s">
        <v>137</v>
      </c>
      <c r="C48" s="3">
        <v>0.51403399999999999</v>
      </c>
      <c r="F48" t="s">
        <v>134</v>
      </c>
      <c r="G48" t="s">
        <v>16</v>
      </c>
      <c r="H48" t="s">
        <v>138</v>
      </c>
      <c r="I48" t="s">
        <v>18</v>
      </c>
      <c r="K48" t="s">
        <v>139</v>
      </c>
    </row>
    <row r="49" spans="1:11" x14ac:dyDescent="0.3">
      <c r="A49" t="s">
        <v>13</v>
      </c>
      <c r="B49" t="s">
        <v>140</v>
      </c>
      <c r="C49" s="3">
        <v>3.2662010000000001</v>
      </c>
      <c r="F49" t="s">
        <v>134</v>
      </c>
      <c r="G49" t="s">
        <v>16</v>
      </c>
      <c r="H49" t="s">
        <v>138</v>
      </c>
      <c r="I49" t="s">
        <v>18</v>
      </c>
      <c r="K49" t="s">
        <v>141</v>
      </c>
    </row>
    <row r="50" spans="1:11" x14ac:dyDescent="0.3">
      <c r="A50" t="s">
        <v>13</v>
      </c>
      <c r="B50" t="s">
        <v>142</v>
      </c>
      <c r="C50" s="3">
        <v>2.2083430000000002</v>
      </c>
      <c r="F50" t="s">
        <v>134</v>
      </c>
      <c r="G50" t="s">
        <v>16</v>
      </c>
      <c r="H50" t="s">
        <v>138</v>
      </c>
      <c r="I50" t="s">
        <v>18</v>
      </c>
      <c r="K50" t="s">
        <v>143</v>
      </c>
    </row>
    <row r="51" spans="1:11" x14ac:dyDescent="0.3">
      <c r="A51" t="s">
        <v>13</v>
      </c>
      <c r="B51" t="s">
        <v>144</v>
      </c>
      <c r="C51" s="3">
        <v>1.0984320000000001</v>
      </c>
      <c r="F51" t="s">
        <v>134</v>
      </c>
      <c r="G51" t="s">
        <v>16</v>
      </c>
      <c r="H51" t="s">
        <v>138</v>
      </c>
      <c r="I51" t="s">
        <v>18</v>
      </c>
      <c r="K51" t="s">
        <v>145</v>
      </c>
    </row>
    <row r="52" spans="1:11" x14ac:dyDescent="0.3">
      <c r="A52" t="s">
        <v>13</v>
      </c>
      <c r="B52" t="s">
        <v>146</v>
      </c>
      <c r="C52" s="3">
        <v>4.43</v>
      </c>
      <c r="F52" t="s">
        <v>147</v>
      </c>
      <c r="G52" t="s">
        <v>16</v>
      </c>
      <c r="H52" t="s">
        <v>148</v>
      </c>
      <c r="I52" t="s">
        <v>149</v>
      </c>
      <c r="K52" t="s">
        <v>150</v>
      </c>
    </row>
    <row r="53" spans="1:11" x14ac:dyDescent="0.3">
      <c r="A53" t="s">
        <v>13</v>
      </c>
      <c r="B53" t="s">
        <v>151</v>
      </c>
      <c r="C53" s="3">
        <v>8.7999999999999995E-2</v>
      </c>
      <c r="F53" t="s">
        <v>147</v>
      </c>
      <c r="G53" t="s">
        <v>16</v>
      </c>
      <c r="H53" t="s">
        <v>152</v>
      </c>
      <c r="I53" t="s">
        <v>149</v>
      </c>
      <c r="K53" t="s">
        <v>153</v>
      </c>
    </row>
    <row r="54" spans="1:11" x14ac:dyDescent="0.3">
      <c r="A54" t="s">
        <v>13</v>
      </c>
      <c r="B54" t="s">
        <v>154</v>
      </c>
      <c r="C54" s="3">
        <v>3.12</v>
      </c>
      <c r="F54" t="s">
        <v>147</v>
      </c>
      <c r="G54" t="s">
        <v>16</v>
      </c>
      <c r="H54" t="s">
        <v>155</v>
      </c>
      <c r="I54" t="s">
        <v>156</v>
      </c>
      <c r="K54" t="s">
        <v>157</v>
      </c>
    </row>
    <row r="55" spans="1:11" x14ac:dyDescent="0.3">
      <c r="A55" t="s">
        <v>13</v>
      </c>
      <c r="B55" t="s">
        <v>158</v>
      </c>
      <c r="C55" s="3">
        <v>20</v>
      </c>
      <c r="F55" t="s">
        <v>33</v>
      </c>
      <c r="G55" t="s">
        <v>16</v>
      </c>
      <c r="H55" t="s">
        <v>159</v>
      </c>
      <c r="I55" t="s">
        <v>18</v>
      </c>
      <c r="K55" t="s">
        <v>160</v>
      </c>
    </row>
    <row r="56" spans="1:11" x14ac:dyDescent="0.3">
      <c r="A56" t="s">
        <v>13</v>
      </c>
      <c r="B56" t="s">
        <v>161</v>
      </c>
      <c r="C56" s="3">
        <v>35</v>
      </c>
      <c r="F56" t="s">
        <v>33</v>
      </c>
      <c r="G56" t="s">
        <v>16</v>
      </c>
      <c r="H56" t="s">
        <v>159</v>
      </c>
      <c r="I56" t="s">
        <v>18</v>
      </c>
      <c r="K56" t="s">
        <v>162</v>
      </c>
    </row>
    <row r="57" spans="1:11" x14ac:dyDescent="0.3">
      <c r="A57" t="s">
        <v>13</v>
      </c>
      <c r="B57" t="s">
        <v>163</v>
      </c>
      <c r="C57" s="3">
        <v>15</v>
      </c>
      <c r="F57" t="s">
        <v>33</v>
      </c>
      <c r="G57" t="s">
        <v>16</v>
      </c>
      <c r="H57" t="s">
        <v>164</v>
      </c>
      <c r="I57" t="s">
        <v>18</v>
      </c>
      <c r="K57" t="s">
        <v>165</v>
      </c>
    </row>
    <row r="58" spans="1:11" x14ac:dyDescent="0.3">
      <c r="A58" t="s">
        <v>13</v>
      </c>
      <c r="B58" t="s">
        <v>166</v>
      </c>
      <c r="C58" s="3">
        <v>25</v>
      </c>
      <c r="F58" t="s">
        <v>33</v>
      </c>
      <c r="G58" t="s">
        <v>16</v>
      </c>
      <c r="H58" t="s">
        <v>164</v>
      </c>
      <c r="I58" t="s">
        <v>18</v>
      </c>
      <c r="K58" t="s">
        <v>162</v>
      </c>
    </row>
    <row r="59" spans="1:11" x14ac:dyDescent="0.3">
      <c r="A59" t="s">
        <v>13</v>
      </c>
      <c r="B59" t="s">
        <v>167</v>
      </c>
      <c r="C59" s="3">
        <v>25</v>
      </c>
      <c r="F59" t="s">
        <v>33</v>
      </c>
      <c r="G59" t="s">
        <v>16</v>
      </c>
      <c r="H59" t="s">
        <v>159</v>
      </c>
      <c r="I59" t="s">
        <v>18</v>
      </c>
      <c r="J59" t="s">
        <v>35</v>
      </c>
      <c r="K59" t="s">
        <v>168</v>
      </c>
    </row>
    <row r="60" spans="1:11" x14ac:dyDescent="0.3">
      <c r="A60" t="s">
        <v>13</v>
      </c>
      <c r="B60" t="s">
        <v>169</v>
      </c>
      <c r="C60" s="3">
        <v>50</v>
      </c>
      <c r="F60" t="s">
        <v>33</v>
      </c>
      <c r="G60" t="s">
        <v>170</v>
      </c>
      <c r="H60" t="s">
        <v>171</v>
      </c>
      <c r="I60" t="s">
        <v>172</v>
      </c>
      <c r="J60" t="s">
        <v>35</v>
      </c>
      <c r="K60" t="s">
        <v>173</v>
      </c>
    </row>
    <row r="61" spans="1:11" x14ac:dyDescent="0.3">
      <c r="A61" t="s">
        <v>13</v>
      </c>
      <c r="B61" t="s">
        <v>174</v>
      </c>
      <c r="C61" s="3">
        <v>25</v>
      </c>
      <c r="F61" t="s">
        <v>33</v>
      </c>
      <c r="G61" t="s">
        <v>170</v>
      </c>
      <c r="H61" t="s">
        <v>171</v>
      </c>
      <c r="I61" t="s">
        <v>172</v>
      </c>
      <c r="J61" t="s">
        <v>35</v>
      </c>
      <c r="K61" t="s">
        <v>175</v>
      </c>
    </row>
    <row r="62" spans="1:11" x14ac:dyDescent="0.3">
      <c r="A62" t="s">
        <v>13</v>
      </c>
      <c r="B62" t="s">
        <v>176</v>
      </c>
      <c r="C62" s="3">
        <v>25</v>
      </c>
      <c r="F62" t="s">
        <v>33</v>
      </c>
      <c r="G62" t="s">
        <v>170</v>
      </c>
      <c r="H62" t="s">
        <v>171</v>
      </c>
      <c r="I62" t="s">
        <v>172</v>
      </c>
      <c r="J62" t="s">
        <v>35</v>
      </c>
      <c r="K62" t="s">
        <v>177</v>
      </c>
    </row>
    <row r="63" spans="1:11" x14ac:dyDescent="0.3">
      <c r="A63" t="s">
        <v>13</v>
      </c>
      <c r="B63" t="s">
        <v>178</v>
      </c>
      <c r="C63" s="3">
        <v>9.5</v>
      </c>
      <c r="F63" t="s">
        <v>33</v>
      </c>
      <c r="G63" t="s">
        <v>16</v>
      </c>
      <c r="H63" t="s">
        <v>91</v>
      </c>
      <c r="I63" t="s">
        <v>70</v>
      </c>
      <c r="K63" t="s">
        <v>179</v>
      </c>
    </row>
    <row r="64" spans="1:11" x14ac:dyDescent="0.3">
      <c r="A64" t="s">
        <v>13</v>
      </c>
      <c r="B64" t="s">
        <v>180</v>
      </c>
      <c r="C64" s="3">
        <v>10.5</v>
      </c>
      <c r="F64" t="s">
        <v>33</v>
      </c>
      <c r="G64" t="s">
        <v>16</v>
      </c>
      <c r="H64" t="s">
        <v>91</v>
      </c>
      <c r="I64" t="s">
        <v>70</v>
      </c>
      <c r="K64" t="s">
        <v>181</v>
      </c>
    </row>
    <row r="65" spans="1:11" x14ac:dyDescent="0.3">
      <c r="A65" t="s">
        <v>13</v>
      </c>
      <c r="B65" t="s">
        <v>182</v>
      </c>
      <c r="C65" s="3">
        <v>9</v>
      </c>
      <c r="F65" t="s">
        <v>33</v>
      </c>
      <c r="G65" t="s">
        <v>16</v>
      </c>
      <c r="H65" t="s">
        <v>34</v>
      </c>
      <c r="I65" t="s">
        <v>18</v>
      </c>
      <c r="J65" t="s">
        <v>35</v>
      </c>
      <c r="K65" t="s">
        <v>183</v>
      </c>
    </row>
    <row r="66" spans="1:11" x14ac:dyDescent="0.3">
      <c r="A66" t="s">
        <v>13</v>
      </c>
      <c r="B66" t="s">
        <v>184</v>
      </c>
      <c r="C66" s="3">
        <v>41</v>
      </c>
      <c r="F66" t="s">
        <v>33</v>
      </c>
      <c r="G66" t="s">
        <v>16</v>
      </c>
      <c r="H66" t="s">
        <v>38</v>
      </c>
      <c r="I66" t="s">
        <v>18</v>
      </c>
      <c r="K66" t="s">
        <v>185</v>
      </c>
    </row>
    <row r="67" spans="1:11" x14ac:dyDescent="0.3">
      <c r="A67" t="s">
        <v>13</v>
      </c>
      <c r="B67" t="s">
        <v>186</v>
      </c>
      <c r="C67" s="3">
        <v>47.9</v>
      </c>
      <c r="F67" t="s">
        <v>33</v>
      </c>
      <c r="G67" t="s">
        <v>16</v>
      </c>
      <c r="H67" t="s">
        <v>38</v>
      </c>
      <c r="I67" t="s">
        <v>18</v>
      </c>
      <c r="J67" t="s">
        <v>35</v>
      </c>
      <c r="K67" t="s">
        <v>187</v>
      </c>
    </row>
    <row r="68" spans="1:11" x14ac:dyDescent="0.3">
      <c r="A68" t="s">
        <v>13</v>
      </c>
      <c r="B68" t="s">
        <v>188</v>
      </c>
      <c r="C68" s="3">
        <v>9.6</v>
      </c>
      <c r="F68" t="s">
        <v>33</v>
      </c>
      <c r="G68" t="s">
        <v>16</v>
      </c>
      <c r="H68" t="s">
        <v>43</v>
      </c>
      <c r="I68" t="s">
        <v>18</v>
      </c>
      <c r="J68" t="s">
        <v>35</v>
      </c>
      <c r="K68" t="s">
        <v>189</v>
      </c>
    </row>
    <row r="69" spans="1:11" x14ac:dyDescent="0.3">
      <c r="A69" t="s">
        <v>13</v>
      </c>
      <c r="B69" t="s">
        <v>190</v>
      </c>
      <c r="C69" s="3">
        <v>9</v>
      </c>
      <c r="F69" t="s">
        <v>33</v>
      </c>
      <c r="G69" t="s">
        <v>16</v>
      </c>
      <c r="H69" t="s">
        <v>38</v>
      </c>
      <c r="I69" t="s">
        <v>18</v>
      </c>
      <c r="K69" t="s">
        <v>191</v>
      </c>
    </row>
    <row r="70" spans="1:11" x14ac:dyDescent="0.3">
      <c r="A70" t="s">
        <v>13</v>
      </c>
      <c r="B70" t="s">
        <v>192</v>
      </c>
      <c r="C70" s="3">
        <v>9</v>
      </c>
      <c r="F70" t="s">
        <v>33</v>
      </c>
      <c r="G70" t="s">
        <v>16</v>
      </c>
      <c r="H70" t="s">
        <v>38</v>
      </c>
      <c r="I70" t="s">
        <v>18</v>
      </c>
      <c r="J70" t="s">
        <v>35</v>
      </c>
      <c r="K70" t="s">
        <v>193</v>
      </c>
    </row>
    <row r="71" spans="1:11" x14ac:dyDescent="0.3">
      <c r="A71" t="s">
        <v>13</v>
      </c>
      <c r="B71" t="s">
        <v>194</v>
      </c>
      <c r="C71" s="3">
        <v>2.5</v>
      </c>
      <c r="F71" t="s">
        <v>33</v>
      </c>
      <c r="G71" t="s">
        <v>16</v>
      </c>
      <c r="H71" t="s">
        <v>53</v>
      </c>
      <c r="I71" t="s">
        <v>18</v>
      </c>
      <c r="K71" t="s">
        <v>195</v>
      </c>
    </row>
    <row r="72" spans="1:11" x14ac:dyDescent="0.3">
      <c r="A72" t="s">
        <v>13</v>
      </c>
      <c r="B72" t="s">
        <v>196</v>
      </c>
      <c r="C72" s="3">
        <v>4</v>
      </c>
      <c r="F72" t="s">
        <v>33</v>
      </c>
      <c r="G72" t="s">
        <v>16</v>
      </c>
      <c r="H72" t="s">
        <v>38</v>
      </c>
      <c r="I72" t="s">
        <v>18</v>
      </c>
      <c r="K72" t="s">
        <v>197</v>
      </c>
    </row>
    <row r="73" spans="1:11" x14ac:dyDescent="0.3">
      <c r="A73" t="s">
        <v>13</v>
      </c>
      <c r="B73" t="s">
        <v>198</v>
      </c>
      <c r="C73" s="3">
        <v>18.2</v>
      </c>
      <c r="F73" t="s">
        <v>101</v>
      </c>
      <c r="G73" t="s">
        <v>16</v>
      </c>
      <c r="H73" t="s">
        <v>199</v>
      </c>
      <c r="I73" t="s">
        <v>18</v>
      </c>
      <c r="K73" t="s">
        <v>200</v>
      </c>
    </row>
    <row r="74" spans="1:11" x14ac:dyDescent="0.3">
      <c r="A74" t="s">
        <v>13</v>
      </c>
      <c r="B74" t="s">
        <v>201</v>
      </c>
      <c r="C74" s="3">
        <v>19.899999999999999</v>
      </c>
      <c r="F74" t="s">
        <v>101</v>
      </c>
      <c r="G74" t="s">
        <v>16</v>
      </c>
      <c r="H74" t="s">
        <v>199</v>
      </c>
      <c r="I74" t="s">
        <v>18</v>
      </c>
      <c r="K74" t="s">
        <v>200</v>
      </c>
    </row>
    <row r="75" spans="1:11" x14ac:dyDescent="0.3">
      <c r="A75" t="s">
        <v>13</v>
      </c>
      <c r="B75" t="s">
        <v>202</v>
      </c>
      <c r="C75" s="3">
        <v>18.2</v>
      </c>
      <c r="F75" t="s">
        <v>101</v>
      </c>
      <c r="G75" t="s">
        <v>16</v>
      </c>
      <c r="H75" t="s">
        <v>199</v>
      </c>
      <c r="I75" t="s">
        <v>18</v>
      </c>
      <c r="K75" t="s">
        <v>200</v>
      </c>
    </row>
    <row r="76" spans="1:11" x14ac:dyDescent="0.3">
      <c r="A76" t="s">
        <v>13</v>
      </c>
      <c r="B76" t="s">
        <v>203</v>
      </c>
      <c r="C76" s="3">
        <v>19.899999999999999</v>
      </c>
      <c r="F76" t="s">
        <v>101</v>
      </c>
      <c r="G76" t="s">
        <v>16</v>
      </c>
      <c r="H76" t="s">
        <v>199</v>
      </c>
      <c r="I76" t="s">
        <v>18</v>
      </c>
      <c r="K76" t="s">
        <v>200</v>
      </c>
    </row>
    <row r="77" spans="1:11" x14ac:dyDescent="0.3">
      <c r="A77" t="s">
        <v>13</v>
      </c>
      <c r="B77" t="s">
        <v>204</v>
      </c>
      <c r="C77" s="3">
        <v>0</v>
      </c>
      <c r="F77" t="s">
        <v>33</v>
      </c>
      <c r="G77" t="s">
        <v>16</v>
      </c>
      <c r="H77" t="s">
        <v>199</v>
      </c>
      <c r="I77" t="s">
        <v>18</v>
      </c>
      <c r="J77" t="s">
        <v>35</v>
      </c>
      <c r="K77" t="s">
        <v>205</v>
      </c>
    </row>
    <row r="78" spans="1:11" x14ac:dyDescent="0.3">
      <c r="A78" t="s">
        <v>13</v>
      </c>
      <c r="B78" t="s">
        <v>206</v>
      </c>
      <c r="C78" s="3">
        <v>0</v>
      </c>
      <c r="F78" t="s">
        <v>33</v>
      </c>
      <c r="G78" t="s">
        <v>16</v>
      </c>
      <c r="H78" t="s">
        <v>207</v>
      </c>
      <c r="I78" t="s">
        <v>18</v>
      </c>
      <c r="J78" t="s">
        <v>35</v>
      </c>
      <c r="K78" t="s">
        <v>208</v>
      </c>
    </row>
    <row r="79" spans="1:11" x14ac:dyDescent="0.3">
      <c r="A79" t="s">
        <v>13</v>
      </c>
      <c r="B79" t="s">
        <v>209</v>
      </c>
      <c r="C79" s="3">
        <v>50</v>
      </c>
      <c r="F79" t="s">
        <v>33</v>
      </c>
      <c r="G79" t="s">
        <v>16</v>
      </c>
      <c r="H79" t="s">
        <v>207</v>
      </c>
      <c r="I79" t="s">
        <v>18</v>
      </c>
      <c r="J79" t="s">
        <v>35</v>
      </c>
      <c r="K79" t="s">
        <v>210</v>
      </c>
    </row>
    <row r="80" spans="1:11" x14ac:dyDescent="0.3">
      <c r="A80" t="s">
        <v>13</v>
      </c>
      <c r="B80" t="s">
        <v>211</v>
      </c>
      <c r="C80" s="3">
        <v>50</v>
      </c>
      <c r="F80" t="s">
        <v>33</v>
      </c>
      <c r="G80" t="s">
        <v>16</v>
      </c>
      <c r="H80" t="s">
        <v>207</v>
      </c>
      <c r="I80" t="s">
        <v>18</v>
      </c>
      <c r="J80" t="s">
        <v>35</v>
      </c>
      <c r="K80" t="s">
        <v>210</v>
      </c>
    </row>
    <row r="81" spans="1:11" x14ac:dyDescent="0.3">
      <c r="A81" t="s">
        <v>13</v>
      </c>
      <c r="B81" t="s">
        <v>212</v>
      </c>
      <c r="C81" s="3">
        <v>1</v>
      </c>
      <c r="F81" t="s">
        <v>213</v>
      </c>
      <c r="G81" t="s">
        <v>214</v>
      </c>
      <c r="H81" t="s">
        <v>215</v>
      </c>
      <c r="I81" t="s">
        <v>18</v>
      </c>
      <c r="J81" t="s">
        <v>35</v>
      </c>
      <c r="K81" t="s">
        <v>216</v>
      </c>
    </row>
    <row r="82" spans="1:11" x14ac:dyDescent="0.3">
      <c r="A82" t="s">
        <v>13</v>
      </c>
      <c r="B82" t="s">
        <v>217</v>
      </c>
      <c r="C82" s="3">
        <v>0.5</v>
      </c>
      <c r="F82" t="s">
        <v>33</v>
      </c>
      <c r="G82" t="s">
        <v>218</v>
      </c>
      <c r="H82" t="s">
        <v>219</v>
      </c>
      <c r="I82" t="s">
        <v>220</v>
      </c>
      <c r="K82" t="s">
        <v>221</v>
      </c>
    </row>
    <row r="83" spans="1:11" x14ac:dyDescent="0.3">
      <c r="A83" t="s">
        <v>13</v>
      </c>
      <c r="B83" t="s">
        <v>222</v>
      </c>
      <c r="C83" s="3">
        <v>0.5</v>
      </c>
      <c r="F83" t="s">
        <v>33</v>
      </c>
      <c r="G83" t="s">
        <v>218</v>
      </c>
      <c r="H83" t="s">
        <v>219</v>
      </c>
      <c r="I83" t="s">
        <v>220</v>
      </c>
      <c r="K83" t="s">
        <v>223</v>
      </c>
    </row>
    <row r="84" spans="1:11" x14ac:dyDescent="0.3">
      <c r="A84" t="s">
        <v>13</v>
      </c>
      <c r="B84" t="s">
        <v>224</v>
      </c>
      <c r="C84" s="3">
        <v>2</v>
      </c>
      <c r="F84" t="s">
        <v>225</v>
      </c>
      <c r="G84" t="s">
        <v>218</v>
      </c>
      <c r="H84" t="s">
        <v>219</v>
      </c>
      <c r="I84" t="s">
        <v>220</v>
      </c>
      <c r="K84" t="s">
        <v>226</v>
      </c>
    </row>
    <row r="85" spans="1:11" x14ac:dyDescent="0.3">
      <c r="A85" t="s">
        <v>227</v>
      </c>
      <c r="B85" t="s">
        <v>228</v>
      </c>
      <c r="C85" s="3">
        <v>391.1</v>
      </c>
      <c r="F85" t="s">
        <v>27</v>
      </c>
      <c r="G85" t="s">
        <v>16</v>
      </c>
      <c r="H85" t="s">
        <v>229</v>
      </c>
      <c r="I85" t="s">
        <v>230</v>
      </c>
      <c r="K85" t="s">
        <v>231</v>
      </c>
    </row>
    <row r="86" spans="1:11" x14ac:dyDescent="0.3">
      <c r="A86" t="s">
        <v>227</v>
      </c>
      <c r="B86" t="s">
        <v>232</v>
      </c>
      <c r="C86" s="3">
        <v>217.2</v>
      </c>
      <c r="F86" t="s">
        <v>27</v>
      </c>
      <c r="G86" t="s">
        <v>16</v>
      </c>
      <c r="H86" t="s">
        <v>229</v>
      </c>
      <c r="I86" t="s">
        <v>121</v>
      </c>
      <c r="K86" t="s">
        <v>231</v>
      </c>
    </row>
    <row r="87" spans="1:11" x14ac:dyDescent="0.3">
      <c r="A87" t="s">
        <v>227</v>
      </c>
      <c r="B87" t="s">
        <v>233</v>
      </c>
      <c r="C87" s="3">
        <v>77.8</v>
      </c>
      <c r="F87" t="s">
        <v>27</v>
      </c>
      <c r="G87" t="s">
        <v>16</v>
      </c>
      <c r="H87" t="s">
        <v>229</v>
      </c>
      <c r="I87" t="s">
        <v>121</v>
      </c>
      <c r="K87" t="s">
        <v>234</v>
      </c>
    </row>
    <row r="88" spans="1:11" x14ac:dyDescent="0.3">
      <c r="A88" t="s">
        <v>227</v>
      </c>
      <c r="B88" t="s">
        <v>235</v>
      </c>
      <c r="C88" s="3">
        <v>-13.7</v>
      </c>
      <c r="F88" t="s">
        <v>27</v>
      </c>
      <c r="G88" t="s">
        <v>16</v>
      </c>
      <c r="H88" t="s">
        <v>229</v>
      </c>
      <c r="I88" t="s">
        <v>121</v>
      </c>
      <c r="K88" t="s">
        <v>236</v>
      </c>
    </row>
    <row r="89" spans="1:11" x14ac:dyDescent="0.3">
      <c r="A89" t="s">
        <v>227</v>
      </c>
      <c r="B89" t="s">
        <v>237</v>
      </c>
      <c r="C89" s="3">
        <v>2775</v>
      </c>
      <c r="F89" t="s">
        <v>27</v>
      </c>
      <c r="G89" t="s">
        <v>16</v>
      </c>
      <c r="H89" t="s">
        <v>238</v>
      </c>
      <c r="I89" t="s">
        <v>18</v>
      </c>
      <c r="K89" t="s">
        <v>239</v>
      </c>
    </row>
    <row r="90" spans="1:11" x14ac:dyDescent="0.3">
      <c r="A90" t="s">
        <v>227</v>
      </c>
      <c r="B90" t="s">
        <v>240</v>
      </c>
      <c r="C90" s="3">
        <v>3025</v>
      </c>
      <c r="F90" t="s">
        <v>27</v>
      </c>
      <c r="G90" t="s">
        <v>16</v>
      </c>
      <c r="H90" t="s">
        <v>238</v>
      </c>
      <c r="I90" t="s">
        <v>18</v>
      </c>
      <c r="K90" t="s">
        <v>241</v>
      </c>
    </row>
    <row r="91" spans="1:11" x14ac:dyDescent="0.3">
      <c r="A91" t="s">
        <v>227</v>
      </c>
      <c r="B91" t="s">
        <v>242</v>
      </c>
      <c r="C91" s="3">
        <v>4.0599999999999996</v>
      </c>
      <c r="F91" t="s">
        <v>147</v>
      </c>
      <c r="G91" t="s">
        <v>16</v>
      </c>
      <c r="H91" t="s">
        <v>243</v>
      </c>
      <c r="I91" t="s">
        <v>18</v>
      </c>
      <c r="K91" t="s">
        <v>244</v>
      </c>
    </row>
    <row r="92" spans="1:11" x14ac:dyDescent="0.3">
      <c r="A92" t="s">
        <v>227</v>
      </c>
      <c r="B92" t="s">
        <v>245</v>
      </c>
      <c r="C92" s="3">
        <v>4.46</v>
      </c>
      <c r="F92" t="s">
        <v>147</v>
      </c>
      <c r="G92" t="s">
        <v>16</v>
      </c>
      <c r="H92" t="s">
        <v>243</v>
      </c>
      <c r="I92" t="s">
        <v>18</v>
      </c>
      <c r="K92" t="s">
        <v>244</v>
      </c>
    </row>
    <row r="93" spans="1:11" x14ac:dyDescent="0.3">
      <c r="A93" t="s">
        <v>246</v>
      </c>
      <c r="B93" t="s">
        <v>247</v>
      </c>
      <c r="C93" s="3">
        <v>5</v>
      </c>
      <c r="F93" t="s">
        <v>24</v>
      </c>
      <c r="G93" t="s">
        <v>16</v>
      </c>
      <c r="H93" t="s">
        <v>38</v>
      </c>
      <c r="I93" t="s">
        <v>18</v>
      </c>
      <c r="K93" t="s">
        <v>248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8"/>
  <sheetViews>
    <sheetView workbookViewId="0">
      <pane xSplit="2" ySplit="4" topLeftCell="C5" activePane="bottomRight" state="frozen"/>
      <selection pane="topRight"/>
      <selection pane="bottomLeft"/>
      <selection pane="bottomRight"/>
    </sheetView>
  </sheetViews>
  <sheetFormatPr defaultRowHeight="14.4" x14ac:dyDescent="0.3"/>
  <cols>
    <col min="1" max="1" width="50" customWidth="1"/>
    <col min="2" max="2" width="9" customWidth="1"/>
    <col min="3" max="13" width="13" customWidth="1"/>
    <col min="14" max="14" width="100" customWidth="1"/>
  </cols>
  <sheetData>
    <row r="1" spans="1:14" ht="18" x14ac:dyDescent="0.35">
      <c r="A1" s="1" t="s">
        <v>249</v>
      </c>
    </row>
    <row r="2" spans="1:14" x14ac:dyDescent="0.3">
      <c r="A2" t="s">
        <v>250</v>
      </c>
    </row>
    <row r="3" spans="1:14" x14ac:dyDescent="0.3">
      <c r="A3" t="s">
        <v>251</v>
      </c>
      <c r="B3" t="s">
        <v>24</v>
      </c>
      <c r="C3" s="4">
        <f>INDEX(projection_end_date_ymd,1)-(INDEX(valuation_date_ymd,1)+1)</f>
        <v>10</v>
      </c>
      <c r="N3" t="s">
        <v>252</v>
      </c>
    </row>
    <row r="4" spans="1:14" x14ac:dyDescent="0.3">
      <c r="A4" s="5" t="s">
        <v>253</v>
      </c>
      <c r="B4" s="5"/>
      <c r="C4" s="5"/>
      <c r="D4" s="5"/>
      <c r="E4" s="5"/>
      <c r="F4" s="5"/>
      <c r="G4" s="5"/>
      <c r="H4" s="5"/>
      <c r="I4" s="5"/>
      <c r="J4" s="5"/>
      <c r="K4" s="5"/>
      <c r="L4" s="5"/>
      <c r="M4" s="5"/>
    </row>
    <row r="5" spans="1:14" x14ac:dyDescent="0.3">
      <c r="A5" t="s">
        <v>254</v>
      </c>
      <c r="B5" t="s">
        <v>255</v>
      </c>
      <c r="C5">
        <v>0</v>
      </c>
      <c r="D5">
        <f t="shared" ref="D5:M5" si="0">C5+1</f>
        <v>1</v>
      </c>
      <c r="E5">
        <f t="shared" si="0"/>
        <v>2</v>
      </c>
      <c r="F5">
        <f t="shared" si="0"/>
        <v>3</v>
      </c>
      <c r="G5">
        <f t="shared" si="0"/>
        <v>4</v>
      </c>
      <c r="H5">
        <f t="shared" si="0"/>
        <v>5</v>
      </c>
      <c r="I5">
        <f t="shared" si="0"/>
        <v>6</v>
      </c>
      <c r="J5">
        <f t="shared" si="0"/>
        <v>7</v>
      </c>
      <c r="K5">
        <f t="shared" si="0"/>
        <v>8</v>
      </c>
      <c r="L5">
        <f t="shared" si="0"/>
        <v>9</v>
      </c>
      <c r="M5">
        <f t="shared" si="0"/>
        <v>10</v>
      </c>
      <c r="N5" t="s">
        <v>256</v>
      </c>
    </row>
    <row r="6" spans="1:14" x14ac:dyDescent="0.3">
      <c r="A6" t="s">
        <v>257</v>
      </c>
      <c r="B6" t="s">
        <v>258</v>
      </c>
      <c r="C6" t="str">
        <f>"FY"&amp;(INDEX(valuation_date_ymd,1)+1+C5)&amp;" second half"</f>
        <v>FY2025 second half</v>
      </c>
      <c r="D6" t="str">
        <f t="shared" ref="D6:M6" si="1">"FY"&amp;(INDEX(valuation_date_ymd,1)+1+D5)</f>
        <v>FY2026</v>
      </c>
      <c r="E6" t="str">
        <f t="shared" si="1"/>
        <v>FY2027</v>
      </c>
      <c r="F6" t="str">
        <f t="shared" si="1"/>
        <v>FY2028</v>
      </c>
      <c r="G6" t="str">
        <f t="shared" si="1"/>
        <v>FY2029</v>
      </c>
      <c r="H6" t="str">
        <f t="shared" si="1"/>
        <v>FY2030</v>
      </c>
      <c r="I6" t="str">
        <f t="shared" si="1"/>
        <v>FY2031</v>
      </c>
      <c r="J6" t="str">
        <f t="shared" si="1"/>
        <v>FY2032</v>
      </c>
      <c r="K6" t="str">
        <f t="shared" si="1"/>
        <v>FY2033</v>
      </c>
      <c r="L6" t="str">
        <f t="shared" si="1"/>
        <v>FY2034</v>
      </c>
      <c r="M6" t="str">
        <f t="shared" si="1"/>
        <v>FY2035</v>
      </c>
      <c r="N6" t="s">
        <v>259</v>
      </c>
    </row>
    <row r="7" spans="1:14" x14ac:dyDescent="0.3">
      <c r="A7" t="s">
        <v>260</v>
      </c>
      <c r="B7" t="s">
        <v>24</v>
      </c>
      <c r="C7" s="6">
        <f>stub_period_years</f>
        <v>0.5</v>
      </c>
      <c r="D7" s="6">
        <f t="shared" ref="D7:M7" si="2">IF(D5=0,stub_period_years,1)</f>
        <v>1</v>
      </c>
      <c r="E7" s="6">
        <f t="shared" si="2"/>
        <v>1</v>
      </c>
      <c r="F7" s="6">
        <f t="shared" si="2"/>
        <v>1</v>
      </c>
      <c r="G7" s="6">
        <f t="shared" si="2"/>
        <v>1</v>
      </c>
      <c r="H7" s="6">
        <f t="shared" si="2"/>
        <v>1</v>
      </c>
      <c r="I7" s="6">
        <f t="shared" si="2"/>
        <v>1</v>
      </c>
      <c r="J7" s="6">
        <f t="shared" si="2"/>
        <v>1</v>
      </c>
      <c r="K7" s="6">
        <f t="shared" si="2"/>
        <v>1</v>
      </c>
      <c r="L7" s="6">
        <f t="shared" si="2"/>
        <v>1</v>
      </c>
      <c r="M7" s="6">
        <f t="shared" si="2"/>
        <v>1</v>
      </c>
      <c r="N7" t="s">
        <v>261</v>
      </c>
    </row>
    <row r="8" spans="1:14" x14ac:dyDescent="0.3">
      <c r="A8" t="s">
        <v>262</v>
      </c>
      <c r="B8" t="s">
        <v>263</v>
      </c>
      <c r="C8" s="7">
        <f>fy25_revenue_aud_m</f>
        <v>420</v>
      </c>
      <c r="D8" s="7">
        <f t="shared" ref="D8:M8" si="3">C8*(1+revenue_growth_fy26_to_fy35_pct/100)</f>
        <v>457.8</v>
      </c>
      <c r="E8" s="7">
        <f t="shared" si="3"/>
        <v>499.00200000000007</v>
      </c>
      <c r="F8" s="7">
        <f t="shared" si="3"/>
        <v>543.91218000000015</v>
      </c>
      <c r="G8" s="7">
        <f t="shared" si="3"/>
        <v>592.86427620000018</v>
      </c>
      <c r="H8" s="7">
        <f t="shared" si="3"/>
        <v>646.22206105800024</v>
      </c>
      <c r="I8" s="7">
        <f t="shared" si="3"/>
        <v>704.38204655322033</v>
      </c>
      <c r="J8" s="7">
        <f t="shared" si="3"/>
        <v>767.77643074301022</v>
      </c>
      <c r="K8" s="7">
        <f t="shared" si="3"/>
        <v>836.87630950988125</v>
      </c>
      <c r="L8" s="7">
        <f t="shared" si="3"/>
        <v>912.19517736577063</v>
      </c>
      <c r="M8" s="7">
        <f t="shared" si="3"/>
        <v>994.29274332869011</v>
      </c>
      <c r="N8" t="s">
        <v>264</v>
      </c>
    </row>
    <row r="9" spans="1:14" x14ac:dyDescent="0.3">
      <c r="A9" t="s">
        <v>265</v>
      </c>
      <c r="B9" t="s">
        <v>263</v>
      </c>
      <c r="C9" s="7">
        <f>fy24_revenue_aud_m</f>
        <v>391.1</v>
      </c>
      <c r="D9" s="7">
        <f t="shared" ref="D9:M9" si="4">C8</f>
        <v>420</v>
      </c>
      <c r="E9" s="7">
        <f t="shared" si="4"/>
        <v>457.8</v>
      </c>
      <c r="F9" s="7">
        <f t="shared" si="4"/>
        <v>499.00200000000007</v>
      </c>
      <c r="G9" s="7">
        <f t="shared" si="4"/>
        <v>543.91218000000015</v>
      </c>
      <c r="H9" s="7">
        <f t="shared" si="4"/>
        <v>592.86427620000018</v>
      </c>
      <c r="I9" s="7">
        <f t="shared" si="4"/>
        <v>646.22206105800024</v>
      </c>
      <c r="J9" s="7">
        <f t="shared" si="4"/>
        <v>704.38204655322033</v>
      </c>
      <c r="K9" s="7">
        <f t="shared" si="4"/>
        <v>767.77643074301022</v>
      </c>
      <c r="L9" s="7">
        <f t="shared" si="4"/>
        <v>836.87630950988125</v>
      </c>
      <c r="M9" s="7">
        <f t="shared" si="4"/>
        <v>912.19517736577063</v>
      </c>
      <c r="N9" t="s">
        <v>266</v>
      </c>
    </row>
    <row r="10" spans="1:14" x14ac:dyDescent="0.3">
      <c r="A10" t="s">
        <v>267</v>
      </c>
      <c r="B10" t="s">
        <v>263</v>
      </c>
      <c r="C10" s="7">
        <f>C8-first_half_fy25_revenue_aud_m</f>
        <v>202.8</v>
      </c>
      <c r="D10" s="7">
        <f t="shared" ref="D10:M10" si="5">D8</f>
        <v>457.8</v>
      </c>
      <c r="E10" s="7">
        <f t="shared" si="5"/>
        <v>499.00200000000007</v>
      </c>
      <c r="F10" s="7">
        <f t="shared" si="5"/>
        <v>543.91218000000015</v>
      </c>
      <c r="G10" s="7">
        <f t="shared" si="5"/>
        <v>592.86427620000018</v>
      </c>
      <c r="H10" s="7">
        <f t="shared" si="5"/>
        <v>646.22206105800024</v>
      </c>
      <c r="I10" s="7">
        <f t="shared" si="5"/>
        <v>704.38204655322033</v>
      </c>
      <c r="J10" s="7">
        <f t="shared" si="5"/>
        <v>767.77643074301022</v>
      </c>
      <c r="K10" s="7">
        <f t="shared" si="5"/>
        <v>836.87630950988125</v>
      </c>
      <c r="L10" s="7">
        <f t="shared" si="5"/>
        <v>912.19517736577063</v>
      </c>
      <c r="M10" s="7">
        <f t="shared" si="5"/>
        <v>994.29274332869011</v>
      </c>
      <c r="N10" t="s">
        <v>268</v>
      </c>
    </row>
    <row r="11" spans="1:14" x14ac:dyDescent="0.3">
      <c r="A11" t="s">
        <v>269</v>
      </c>
      <c r="B11" t="s">
        <v>270</v>
      </c>
      <c r="C11" s="6">
        <f>fy25_ebitda_aud_m/fy25_revenue_aud_m*100</f>
        <v>34.833333333333336</v>
      </c>
      <c r="D11" s="6">
        <f t="shared" ref="D11:M11" si="6">IF(D5&lt;=early_years_count,$C11+(ebitda_margin_fy30_pct-$C11)*D5/early_years_count,ebitda_margin_fy30_pct+(ebitda_margin_fy35_pct-ebitda_margin_fy30_pct)*(D5-early_years_count)/($C$3-early_years_count))</f>
        <v>36.06666666666667</v>
      </c>
      <c r="E11" s="6">
        <f t="shared" si="6"/>
        <v>37.300000000000004</v>
      </c>
      <c r="F11" s="6">
        <f t="shared" si="6"/>
        <v>38.533333333333331</v>
      </c>
      <c r="G11" s="6">
        <f t="shared" si="6"/>
        <v>39.766666666666666</v>
      </c>
      <c r="H11" s="6">
        <f t="shared" si="6"/>
        <v>41</v>
      </c>
      <c r="I11" s="6">
        <f t="shared" si="6"/>
        <v>42.38</v>
      </c>
      <c r="J11" s="6">
        <f t="shared" si="6"/>
        <v>43.76</v>
      </c>
      <c r="K11" s="6">
        <f t="shared" si="6"/>
        <v>45.14</v>
      </c>
      <c r="L11" s="6">
        <f t="shared" si="6"/>
        <v>46.519999999999996</v>
      </c>
      <c r="M11" s="6">
        <f t="shared" si="6"/>
        <v>47.9</v>
      </c>
      <c r="N11" t="s">
        <v>271</v>
      </c>
    </row>
    <row r="12" spans="1:14" x14ac:dyDescent="0.3">
      <c r="A12" t="s">
        <v>272</v>
      </c>
      <c r="B12" t="s">
        <v>263</v>
      </c>
      <c r="C12" s="7">
        <f>fy25_ebitda_aud_m-first_half_fy25_ebitda_aud_m</f>
        <v>68.500000000000014</v>
      </c>
      <c r="D12" s="7">
        <f t="shared" ref="D12:M12" si="7">D10*D11/100</f>
        <v>165.11320000000003</v>
      </c>
      <c r="E12" s="7">
        <f t="shared" si="7"/>
        <v>186.12774600000003</v>
      </c>
      <c r="F12" s="7">
        <f t="shared" si="7"/>
        <v>209.58749336000005</v>
      </c>
      <c r="G12" s="7">
        <f t="shared" si="7"/>
        <v>235.76236050220007</v>
      </c>
      <c r="H12" s="7">
        <f t="shared" si="7"/>
        <v>264.95104503378008</v>
      </c>
      <c r="I12" s="7">
        <f t="shared" si="7"/>
        <v>298.51711132925482</v>
      </c>
      <c r="J12" s="7">
        <f t="shared" si="7"/>
        <v>335.97896609314125</v>
      </c>
      <c r="K12" s="7">
        <f t="shared" si="7"/>
        <v>377.76596611276045</v>
      </c>
      <c r="L12" s="7">
        <f t="shared" si="7"/>
        <v>424.35319651055647</v>
      </c>
      <c r="M12" s="7">
        <f t="shared" si="7"/>
        <v>476.26622405444255</v>
      </c>
      <c r="N12" t="s">
        <v>273</v>
      </c>
    </row>
    <row r="13" spans="1:14" x14ac:dyDescent="0.3">
      <c r="A13" t="s">
        <v>274</v>
      </c>
      <c r="B13" t="s">
        <v>263</v>
      </c>
      <c r="C13" s="7">
        <f t="shared" ref="C13:M13" si="8">corporate_cost_saving_aud_m*C7</f>
        <v>2</v>
      </c>
      <c r="D13" s="7">
        <f t="shared" si="8"/>
        <v>4</v>
      </c>
      <c r="E13" s="7">
        <f t="shared" si="8"/>
        <v>4</v>
      </c>
      <c r="F13" s="7">
        <f t="shared" si="8"/>
        <v>4</v>
      </c>
      <c r="G13" s="7">
        <f t="shared" si="8"/>
        <v>4</v>
      </c>
      <c r="H13" s="7">
        <f t="shared" si="8"/>
        <v>4</v>
      </c>
      <c r="I13" s="7">
        <f t="shared" si="8"/>
        <v>4</v>
      </c>
      <c r="J13" s="7">
        <f t="shared" si="8"/>
        <v>4</v>
      </c>
      <c r="K13" s="7">
        <f t="shared" si="8"/>
        <v>4</v>
      </c>
      <c r="L13" s="7">
        <f t="shared" si="8"/>
        <v>4</v>
      </c>
      <c r="M13" s="7">
        <f t="shared" si="8"/>
        <v>4</v>
      </c>
      <c r="N13" t="s">
        <v>275</v>
      </c>
    </row>
    <row r="14" spans="1:14" x14ac:dyDescent="0.3">
      <c r="A14" t="s">
        <v>276</v>
      </c>
      <c r="B14" t="s">
        <v>270</v>
      </c>
      <c r="C14" s="6">
        <f>fy25_depreciation_and_other_amortisation_aud_m/fy25_revenue_aud_m*100</f>
        <v>7.2619047619047628</v>
      </c>
      <c r="D14" s="6">
        <f t="shared" ref="D14:M14" si="9">IF(D5&lt;=early_years_count,$C14+(depreciation_pct_of_revenue_long_term_pct-$C14)*D5/early_years_count,depreciation_pct_of_revenue_long_term_pct)</f>
        <v>7.60952380952381</v>
      </c>
      <c r="E14" s="6">
        <f t="shared" si="9"/>
        <v>7.9571428571428573</v>
      </c>
      <c r="F14" s="6">
        <f t="shared" si="9"/>
        <v>8.3047619047619055</v>
      </c>
      <c r="G14" s="6">
        <f t="shared" si="9"/>
        <v>8.6523809523809518</v>
      </c>
      <c r="H14" s="6">
        <f t="shared" si="9"/>
        <v>9</v>
      </c>
      <c r="I14" s="6">
        <f t="shared" si="9"/>
        <v>9</v>
      </c>
      <c r="J14" s="6">
        <f t="shared" si="9"/>
        <v>9</v>
      </c>
      <c r="K14" s="6">
        <f t="shared" si="9"/>
        <v>9</v>
      </c>
      <c r="L14" s="6">
        <f t="shared" si="9"/>
        <v>9</v>
      </c>
      <c r="M14" s="6">
        <f t="shared" si="9"/>
        <v>9</v>
      </c>
      <c r="N14" t="s">
        <v>277</v>
      </c>
    </row>
    <row r="15" spans="1:14" x14ac:dyDescent="0.3">
      <c r="A15" t="s">
        <v>278</v>
      </c>
      <c r="B15" t="s">
        <v>263</v>
      </c>
      <c r="C15" s="7">
        <f>fy25_depreciation_and_other_amortisation_aud_m+first_half_fy25_depreciation_and_other_amortisation_aud_m</f>
        <v>16.8</v>
      </c>
      <c r="D15" s="7">
        <f t="shared" ref="D15:M15" si="10">D10*D14/100</f>
        <v>34.836400000000005</v>
      </c>
      <c r="E15" s="7">
        <f t="shared" si="10"/>
        <v>39.706302000000008</v>
      </c>
      <c r="F15" s="7">
        <f t="shared" si="10"/>
        <v>45.170611520000023</v>
      </c>
      <c r="G15" s="7">
        <f t="shared" si="10"/>
        <v>51.296875707400012</v>
      </c>
      <c r="H15" s="7">
        <f t="shared" si="10"/>
        <v>58.159985495220027</v>
      </c>
      <c r="I15" s="7">
        <f t="shared" si="10"/>
        <v>63.394384189789832</v>
      </c>
      <c r="J15" s="7">
        <f t="shared" si="10"/>
        <v>69.099878766870916</v>
      </c>
      <c r="K15" s="7">
        <f t="shared" si="10"/>
        <v>75.318867855889309</v>
      </c>
      <c r="L15" s="7">
        <f t="shared" si="10"/>
        <v>82.097565962919361</v>
      </c>
      <c r="M15" s="7">
        <f t="shared" si="10"/>
        <v>89.486346899582117</v>
      </c>
      <c r="N15" t="s">
        <v>279</v>
      </c>
    </row>
    <row r="16" spans="1:14" x14ac:dyDescent="0.3">
      <c r="A16" t="s">
        <v>280</v>
      </c>
      <c r="B16" t="s">
        <v>263</v>
      </c>
      <c r="C16" s="7">
        <f t="shared" ref="C16:M16" si="11">C12+C13-C15</f>
        <v>53.700000000000017</v>
      </c>
      <c r="D16" s="7">
        <f t="shared" si="11"/>
        <v>134.27680000000004</v>
      </c>
      <c r="E16" s="7">
        <f t="shared" si="11"/>
        <v>150.42144400000001</v>
      </c>
      <c r="F16" s="7">
        <f t="shared" si="11"/>
        <v>168.41688184000003</v>
      </c>
      <c r="G16" s="7">
        <f t="shared" si="11"/>
        <v>188.46548479480006</v>
      </c>
      <c r="H16" s="7">
        <f t="shared" si="11"/>
        <v>210.79105953856003</v>
      </c>
      <c r="I16" s="7">
        <f t="shared" si="11"/>
        <v>239.12272713946498</v>
      </c>
      <c r="J16" s="7">
        <f t="shared" si="11"/>
        <v>270.87908732627034</v>
      </c>
      <c r="K16" s="7">
        <f t="shared" si="11"/>
        <v>306.44709825687113</v>
      </c>
      <c r="L16" s="7">
        <f t="shared" si="11"/>
        <v>346.25563054763711</v>
      </c>
      <c r="M16" s="7">
        <f t="shared" si="11"/>
        <v>390.7798771548604</v>
      </c>
      <c r="N16" t="s">
        <v>281</v>
      </c>
    </row>
    <row r="17" spans="1:14" x14ac:dyDescent="0.3">
      <c r="A17" t="s">
        <v>282</v>
      </c>
      <c r="B17" t="s">
        <v>263</v>
      </c>
      <c r="C17" s="7">
        <f t="shared" ref="C17:M17" si="12">C16*tax_rate_pct/100</f>
        <v>16.110000000000003</v>
      </c>
      <c r="D17" s="7">
        <f t="shared" si="12"/>
        <v>40.283040000000007</v>
      </c>
      <c r="E17" s="7">
        <f t="shared" si="12"/>
        <v>45.126433200000001</v>
      </c>
      <c r="F17" s="7">
        <f t="shared" si="12"/>
        <v>50.525064552000011</v>
      </c>
      <c r="G17" s="7">
        <f t="shared" si="12"/>
        <v>56.539645438440019</v>
      </c>
      <c r="H17" s="7">
        <f t="shared" si="12"/>
        <v>63.237317861568009</v>
      </c>
      <c r="I17" s="7">
        <f t="shared" si="12"/>
        <v>71.736818141839493</v>
      </c>
      <c r="J17" s="7">
        <f t="shared" si="12"/>
        <v>81.263726197881098</v>
      </c>
      <c r="K17" s="7">
        <f t="shared" si="12"/>
        <v>91.934129477061347</v>
      </c>
      <c r="L17" s="7">
        <f t="shared" si="12"/>
        <v>103.87668916429112</v>
      </c>
      <c r="M17" s="7">
        <f t="shared" si="12"/>
        <v>117.23396314645812</v>
      </c>
      <c r="N17" t="s">
        <v>283</v>
      </c>
    </row>
    <row r="18" spans="1:14" x14ac:dyDescent="0.3">
      <c r="A18" t="s">
        <v>284</v>
      </c>
      <c r="B18" t="s">
        <v>270</v>
      </c>
      <c r="C18" s="6">
        <f>capex_pct_of_revenue_fy26_to_fy30_pct</f>
        <v>9.6</v>
      </c>
      <c r="D18" s="6">
        <f t="shared" ref="D18:M18" si="13">IF(D5&lt;=early_years_count,capex_pct_of_revenue_fy26_to_fy30_pct,capex_pct_of_revenue_long_term_pct)</f>
        <v>9.6</v>
      </c>
      <c r="E18" s="6">
        <f t="shared" si="13"/>
        <v>9.6</v>
      </c>
      <c r="F18" s="6">
        <f t="shared" si="13"/>
        <v>9.6</v>
      </c>
      <c r="G18" s="6">
        <f t="shared" si="13"/>
        <v>9.6</v>
      </c>
      <c r="H18" s="6">
        <f t="shared" si="13"/>
        <v>9.6</v>
      </c>
      <c r="I18" s="6">
        <f t="shared" si="13"/>
        <v>9</v>
      </c>
      <c r="J18" s="6">
        <f t="shared" si="13"/>
        <v>9</v>
      </c>
      <c r="K18" s="6">
        <f t="shared" si="13"/>
        <v>9</v>
      </c>
      <c r="L18" s="6">
        <f t="shared" si="13"/>
        <v>9</v>
      </c>
      <c r="M18" s="6">
        <f t="shared" si="13"/>
        <v>9</v>
      </c>
      <c r="N18" t="s">
        <v>285</v>
      </c>
    </row>
    <row r="19" spans="1:14" x14ac:dyDescent="0.3">
      <c r="A19" t="s">
        <v>286</v>
      </c>
      <c r="B19" t="s">
        <v>263</v>
      </c>
      <c r="C19" s="7">
        <f t="shared" ref="C19:M19" si="14">C10*C18/100</f>
        <v>19.468800000000002</v>
      </c>
      <c r="D19" s="7">
        <f t="shared" si="14"/>
        <v>43.948799999999999</v>
      </c>
      <c r="E19" s="7">
        <f t="shared" si="14"/>
        <v>47.904192000000002</v>
      </c>
      <c r="F19" s="7">
        <f t="shared" si="14"/>
        <v>52.215569280000011</v>
      </c>
      <c r="G19" s="7">
        <f t="shared" si="14"/>
        <v>56.914970515200011</v>
      </c>
      <c r="H19" s="7">
        <f t="shared" si="14"/>
        <v>62.03731786156802</v>
      </c>
      <c r="I19" s="7">
        <f t="shared" si="14"/>
        <v>63.394384189789832</v>
      </c>
      <c r="J19" s="7">
        <f t="shared" si="14"/>
        <v>69.099878766870916</v>
      </c>
      <c r="K19" s="7">
        <f t="shared" si="14"/>
        <v>75.318867855889309</v>
      </c>
      <c r="L19" s="7">
        <f t="shared" si="14"/>
        <v>82.097565962919361</v>
      </c>
      <c r="M19" s="7">
        <f t="shared" si="14"/>
        <v>89.486346899582117</v>
      </c>
      <c r="N19" t="s">
        <v>287</v>
      </c>
    </row>
    <row r="20" spans="1:14" x14ac:dyDescent="0.3">
      <c r="A20" t="s">
        <v>288</v>
      </c>
      <c r="B20" t="s">
        <v>263</v>
      </c>
      <c r="C20" s="7">
        <f t="shared" ref="C20:M20" si="15">(C8-C9)*working_capital_pct_of_revenue_pct/100*C7</f>
        <v>0.36124999999999974</v>
      </c>
      <c r="D20" s="7">
        <f t="shared" si="15"/>
        <v>0.94500000000000028</v>
      </c>
      <c r="E20" s="7">
        <f t="shared" si="15"/>
        <v>1.0300500000000015</v>
      </c>
      <c r="F20" s="7">
        <f t="shared" si="15"/>
        <v>1.1227545000000021</v>
      </c>
      <c r="G20" s="7">
        <f t="shared" si="15"/>
        <v>1.2238024050000007</v>
      </c>
      <c r="H20" s="7">
        <f t="shared" si="15"/>
        <v>1.3339446214500015</v>
      </c>
      <c r="I20" s="7">
        <f t="shared" si="15"/>
        <v>1.4539996373805024</v>
      </c>
      <c r="J20" s="7">
        <f t="shared" si="15"/>
        <v>1.5848596047447472</v>
      </c>
      <c r="K20" s="7">
        <f t="shared" si="15"/>
        <v>1.7274969691717756</v>
      </c>
      <c r="L20" s="7">
        <f t="shared" si="15"/>
        <v>1.8829716963972345</v>
      </c>
      <c r="M20" s="7">
        <f t="shared" si="15"/>
        <v>2.052439149072987</v>
      </c>
      <c r="N20" t="s">
        <v>289</v>
      </c>
    </row>
    <row r="21" spans="1:14" x14ac:dyDescent="0.3">
      <c r="A21" t="s">
        <v>290</v>
      </c>
      <c r="B21" t="s">
        <v>263</v>
      </c>
      <c r="C21" s="7">
        <f t="shared" ref="C21:M21" si="16">C9*residential_and_mdc_share_of_revenue_pct/100*agent_dividend_pct_of_prior_year_revenue_pct/100*C7</f>
        <v>2.5687448000000002</v>
      </c>
      <c r="D21" s="7">
        <f t="shared" si="16"/>
        <v>5.5171200000000002</v>
      </c>
      <c r="E21" s="7">
        <f t="shared" si="16"/>
        <v>6.0136608000000003</v>
      </c>
      <c r="F21" s="7">
        <f t="shared" si="16"/>
        <v>6.5548902720000015</v>
      </c>
      <c r="G21" s="7">
        <f t="shared" si="16"/>
        <v>7.1448303964800015</v>
      </c>
      <c r="H21" s="7">
        <f t="shared" si="16"/>
        <v>7.7878651321632022</v>
      </c>
      <c r="I21" s="7">
        <f t="shared" si="16"/>
        <v>8.4887729940578893</v>
      </c>
      <c r="J21" s="7">
        <f t="shared" si="16"/>
        <v>9.2527625635231008</v>
      </c>
      <c r="K21" s="7">
        <f t="shared" si="16"/>
        <v>10.085511194240182</v>
      </c>
      <c r="L21" s="7">
        <f t="shared" si="16"/>
        <v>10.993207201721798</v>
      </c>
      <c r="M21" s="7">
        <f t="shared" si="16"/>
        <v>11.982595849876764</v>
      </c>
      <c r="N21" t="s">
        <v>291</v>
      </c>
    </row>
    <row r="22" spans="1:14" x14ac:dyDescent="0.3">
      <c r="A22" s="2" t="s">
        <v>292</v>
      </c>
      <c r="B22" s="2" t="s">
        <v>263</v>
      </c>
      <c r="C22" s="8">
        <f t="shared" ref="C22:M22" si="17">C16-C17+C15-C19-C20-C21</f>
        <v>31.991205200000014</v>
      </c>
      <c r="D22" s="8">
        <f t="shared" si="17"/>
        <v>78.41924000000003</v>
      </c>
      <c r="E22" s="8">
        <f t="shared" si="17"/>
        <v>90.05341</v>
      </c>
      <c r="F22" s="8">
        <f t="shared" si="17"/>
        <v>103.16921475600003</v>
      </c>
      <c r="G22" s="8">
        <f t="shared" si="17"/>
        <v>117.93911174708002</v>
      </c>
      <c r="H22" s="8">
        <f t="shared" si="17"/>
        <v>134.5545995570308</v>
      </c>
      <c r="I22" s="8">
        <f t="shared" si="17"/>
        <v>157.44313636618713</v>
      </c>
      <c r="J22" s="8">
        <f t="shared" si="17"/>
        <v>178.77773896012138</v>
      </c>
      <c r="K22" s="8">
        <f t="shared" si="17"/>
        <v>202.69996061639785</v>
      </c>
      <c r="L22" s="8">
        <f t="shared" si="17"/>
        <v>229.50276248522695</v>
      </c>
      <c r="M22" s="8">
        <f t="shared" si="17"/>
        <v>259.51087900945254</v>
      </c>
      <c r="N22" t="s">
        <v>293</v>
      </c>
    </row>
    <row r="23" spans="1:14" x14ac:dyDescent="0.3">
      <c r="A23" t="s">
        <v>294</v>
      </c>
      <c r="B23" t="s">
        <v>24</v>
      </c>
      <c r="C23" s="6">
        <f>stub_period_years*(1-mid_year_discounting_flag/2)</f>
        <v>0.25</v>
      </c>
      <c r="D23" s="6">
        <f t="shared" ref="D23:M23" si="18">stub_period_years+D5-mid_year_discounting_flag/2</f>
        <v>1</v>
      </c>
      <c r="E23" s="6">
        <f t="shared" si="18"/>
        <v>2</v>
      </c>
      <c r="F23" s="6">
        <f t="shared" si="18"/>
        <v>3</v>
      </c>
      <c r="G23" s="6">
        <f t="shared" si="18"/>
        <v>4</v>
      </c>
      <c r="H23" s="6">
        <f t="shared" si="18"/>
        <v>5</v>
      </c>
      <c r="I23" s="6">
        <f t="shared" si="18"/>
        <v>6</v>
      </c>
      <c r="J23" s="6">
        <f t="shared" si="18"/>
        <v>7</v>
      </c>
      <c r="K23" s="6">
        <f t="shared" si="18"/>
        <v>8</v>
      </c>
      <c r="L23" s="6">
        <f t="shared" si="18"/>
        <v>9</v>
      </c>
      <c r="M23" s="6">
        <f t="shared" si="18"/>
        <v>10</v>
      </c>
      <c r="N23" t="s">
        <v>295</v>
      </c>
    </row>
    <row r="26" spans="1:14" x14ac:dyDescent="0.3">
      <c r="A26" s="5" t="s">
        <v>296</v>
      </c>
      <c r="B26" s="5"/>
      <c r="C26" s="5"/>
      <c r="D26" s="5"/>
      <c r="E26" s="5"/>
      <c r="F26" s="5"/>
      <c r="G26" s="5"/>
      <c r="H26" s="5"/>
      <c r="I26" s="5"/>
      <c r="J26" s="5"/>
      <c r="K26" s="5"/>
      <c r="L26" s="5"/>
      <c r="M26" s="5"/>
    </row>
    <row r="27" spans="1:14" x14ac:dyDescent="0.3">
      <c r="C27" s="2" t="s">
        <v>297</v>
      </c>
      <c r="D27" s="2" t="s">
        <v>298</v>
      </c>
      <c r="E27" s="2" t="s">
        <v>299</v>
      </c>
      <c r="N27" t="s">
        <v>300</v>
      </c>
    </row>
    <row r="28" spans="1:14" x14ac:dyDescent="0.3">
      <c r="A28" t="s">
        <v>301</v>
      </c>
      <c r="B28" t="s">
        <v>270</v>
      </c>
      <c r="C28" s="6">
        <f>discount_rate_high_pct</f>
        <v>10.5</v>
      </c>
      <c r="D28" s="6">
        <f>(discount_rate_low_pct+discount_rate_high_pct)/2</f>
        <v>10</v>
      </c>
      <c r="E28" s="6">
        <f>discount_rate_low_pct</f>
        <v>9.5</v>
      </c>
      <c r="N28" t="s">
        <v>302</v>
      </c>
    </row>
    <row r="29" spans="1:14" x14ac:dyDescent="0.3">
      <c r="A29" t="s">
        <v>303</v>
      </c>
      <c r="B29" t="s">
        <v>270</v>
      </c>
      <c r="C29" s="6">
        <f>terminal_growth_pct</f>
        <v>4</v>
      </c>
      <c r="D29" s="6">
        <f>terminal_growth_pct</f>
        <v>4</v>
      </c>
      <c r="E29" s="6">
        <f>terminal_growth_pct</f>
        <v>4</v>
      </c>
      <c r="N29" t="s">
        <v>304</v>
      </c>
    </row>
    <row r="30" spans="1:14" x14ac:dyDescent="0.3">
      <c r="A30" t="s">
        <v>305</v>
      </c>
      <c r="B30" t="s">
        <v>263</v>
      </c>
      <c r="C30" s="7">
        <f>SUMPRODUCT($C$22:$M$22/(1+C28/100)^$C$23:$M$23)</f>
        <v>868.77656109189252</v>
      </c>
      <c r="D30" s="7">
        <f>SUMPRODUCT($C$22:$M$22/(1+D28/100)^$C$23:$M$23)</f>
        <v>891.12591994208594</v>
      </c>
      <c r="E30" s="7">
        <f>SUMPRODUCT($C$22:$M$22/(1+E28/100)^$C$23:$M$23)</f>
        <v>914.3244246897732</v>
      </c>
      <c r="N30" t="s">
        <v>306</v>
      </c>
    </row>
    <row r="31" spans="1:14" x14ac:dyDescent="0.3">
      <c r="A31" t="s">
        <v>307</v>
      </c>
      <c r="B31" t="s">
        <v>263</v>
      </c>
      <c r="C31" s="7">
        <f>$C$54/((C28-C29)/100)*(1+C28/100)^(mid_year_discounting_flag/2)</f>
        <v>4371.6627319199924</v>
      </c>
      <c r="D31" s="7">
        <f>$C$54/((D28-D29)/100)*(1+D28/100)^(mid_year_discounting_flag/2)</f>
        <v>4725.2409515603813</v>
      </c>
      <c r="E31" s="7">
        <f>$C$54/((E28-E29)/100)*(1+E28/100)^(mid_year_discounting_flag/2)</f>
        <v>5143.0794939783937</v>
      </c>
      <c r="N31" t="s">
        <v>308</v>
      </c>
    </row>
    <row r="32" spans="1:14" x14ac:dyDescent="0.3">
      <c r="A32" t="s">
        <v>309</v>
      </c>
      <c r="B32" t="s">
        <v>310</v>
      </c>
      <c r="C32" s="9">
        <f>1/(1+C28/100)^(stub_period_years+$M$5)</f>
        <v>0.35050650370191722</v>
      </c>
      <c r="D32" s="9">
        <f>1/(1+D28/100)^(stub_period_years+$M$5)</f>
        <v>0.36760110300574383</v>
      </c>
      <c r="E32" s="9">
        <f>1/(1+E28/100)^(stub_period_years+$M$5)</f>
        <v>0.38561307280459772</v>
      </c>
      <c r="N32" t="s">
        <v>311</v>
      </c>
    </row>
    <row r="33" spans="1:14" x14ac:dyDescent="0.3">
      <c r="A33" t="s">
        <v>312</v>
      </c>
      <c r="B33" t="s">
        <v>263</v>
      </c>
      <c r="C33" s="7">
        <f>C31*C32</f>
        <v>1532.2962195292484</v>
      </c>
      <c r="D33" s="7">
        <f>D31*D32</f>
        <v>1737.0037857615068</v>
      </c>
      <c r="E33" s="7">
        <f>E31*E32</f>
        <v>1983.238687351324</v>
      </c>
      <c r="N33" t="s">
        <v>313</v>
      </c>
    </row>
    <row r="34" spans="1:14" x14ac:dyDescent="0.3">
      <c r="A34" t="s">
        <v>314</v>
      </c>
      <c r="B34" t="s">
        <v>263</v>
      </c>
      <c r="C34" s="7">
        <f>C30+C33</f>
        <v>2401.0727806211407</v>
      </c>
      <c r="D34" s="7">
        <f>D30+D33</f>
        <v>2628.1297057035927</v>
      </c>
      <c r="E34" s="7">
        <f>E30+E33</f>
        <v>2897.5631120410972</v>
      </c>
      <c r="N34" t="s">
        <v>315</v>
      </c>
    </row>
    <row r="35" spans="1:14" x14ac:dyDescent="0.3">
      <c r="A35" t="s">
        <v>316</v>
      </c>
      <c r="B35" t="s">
        <v>270</v>
      </c>
      <c r="C35" s="6">
        <f>C33/C34*100</f>
        <v>63.817150062933706</v>
      </c>
      <c r="D35" s="6">
        <f>D33/D34*100</f>
        <v>66.092772437823157</v>
      </c>
      <c r="E35" s="6">
        <f>E33/E34*100</f>
        <v>68.445055747355028</v>
      </c>
      <c r="N35" t="s">
        <v>317</v>
      </c>
    </row>
    <row r="36" spans="1:14" x14ac:dyDescent="0.3">
      <c r="A36" t="s">
        <v>318</v>
      </c>
      <c r="B36" t="s">
        <v>263</v>
      </c>
      <c r="C36" s="7">
        <f>other_assets_and_liabilities_aud_m</f>
        <v>-7.6</v>
      </c>
      <c r="D36" s="7">
        <f>other_assets_and_liabilities_aud_m</f>
        <v>-7.6</v>
      </c>
      <c r="E36" s="7">
        <f>other_assets_and_liabilities_aud_m</f>
        <v>-7.6</v>
      </c>
      <c r="N36" t="s">
        <v>319</v>
      </c>
    </row>
    <row r="37" spans="1:14" x14ac:dyDescent="0.3">
      <c r="A37" t="s">
        <v>320</v>
      </c>
      <c r="B37" t="s">
        <v>263</v>
      </c>
      <c r="C37" s="7">
        <f>C34+C36</f>
        <v>2393.4727806211408</v>
      </c>
      <c r="D37" s="7">
        <f>D34+D36</f>
        <v>2620.5297057035928</v>
      </c>
      <c r="E37" s="7">
        <f>E34+E36</f>
        <v>2889.9631120410972</v>
      </c>
      <c r="N37" t="s">
        <v>321</v>
      </c>
    </row>
    <row r="38" spans="1:14" x14ac:dyDescent="0.3">
      <c r="A38" t="s">
        <v>322</v>
      </c>
      <c r="B38" t="s">
        <v>263</v>
      </c>
      <c r="C38" s="7">
        <f>reported_net_debt_including_leases_aud_m+net_debt_adjustment_capitalised_borrowing_costs_aud_m+net_debt_adjustment_interim_dividend_aud_m</f>
        <v>186.99999999999997</v>
      </c>
      <c r="D38" s="7">
        <f>reported_net_debt_including_leases_aud_m+net_debt_adjustment_capitalised_borrowing_costs_aud_m+net_debt_adjustment_interim_dividend_aud_m</f>
        <v>186.99999999999997</v>
      </c>
      <c r="E38" s="7">
        <f>reported_net_debt_including_leases_aud_m+net_debt_adjustment_capitalised_borrowing_costs_aud_m+net_debt_adjustment_interim_dividend_aud_m</f>
        <v>186.99999999999997</v>
      </c>
      <c r="N38" t="s">
        <v>323</v>
      </c>
    </row>
    <row r="39" spans="1:14" x14ac:dyDescent="0.3">
      <c r="A39" t="s">
        <v>324</v>
      </c>
      <c r="B39" t="s">
        <v>263</v>
      </c>
      <c r="C39" s="7">
        <f>C37-C38</f>
        <v>2206.4727806211408</v>
      </c>
      <c r="D39" s="7">
        <f>D37-D38</f>
        <v>2433.5297057035928</v>
      </c>
      <c r="E39" s="7">
        <f>E37-E38</f>
        <v>2702.9631120410972</v>
      </c>
      <c r="N39" t="s">
        <v>325</v>
      </c>
    </row>
    <row r="40" spans="1:14" x14ac:dyDescent="0.3">
      <c r="A40" t="s">
        <v>326</v>
      </c>
      <c r="B40" t="s">
        <v>327</v>
      </c>
      <c r="C40" s="10">
        <f>ordinary_shares_on_issue_m+share_rights_cash_settled_m-treasury_shares_m+share_rights_vesting_low_m</f>
        <v>635.50775199999998</v>
      </c>
      <c r="D40" s="10">
        <f>(C40+E40)/2</f>
        <v>634.97882299999992</v>
      </c>
      <c r="E40" s="10">
        <f>ordinary_shares_on_issue_m+share_rights_cash_settled_m-treasury_shares_m+share_rights_vesting_high_m</f>
        <v>634.44989399999997</v>
      </c>
      <c r="N40" t="s">
        <v>328</v>
      </c>
    </row>
    <row r="41" spans="1:14" x14ac:dyDescent="0.3">
      <c r="A41" s="2" t="s">
        <v>329</v>
      </c>
      <c r="B41" s="2" t="s">
        <v>330</v>
      </c>
      <c r="C41" s="11">
        <f>C39/C40</f>
        <v>3.471984053187664</v>
      </c>
      <c r="D41" s="11">
        <f>D39/D40</f>
        <v>3.8324580561698403</v>
      </c>
      <c r="E41" s="11">
        <f>E39/E40</f>
        <v>4.2603255790615631</v>
      </c>
      <c r="F41" s="2"/>
      <c r="G41" s="2"/>
      <c r="H41" s="2"/>
      <c r="I41" s="2"/>
      <c r="J41" s="2"/>
      <c r="K41" s="2"/>
      <c r="L41" s="2"/>
      <c r="M41" s="2"/>
      <c r="N41" t="s">
        <v>331</v>
      </c>
    </row>
    <row r="44" spans="1:14" x14ac:dyDescent="0.3">
      <c r="A44" s="5" t="s">
        <v>332</v>
      </c>
      <c r="B44" s="5"/>
      <c r="C44" s="5"/>
      <c r="D44" s="5"/>
      <c r="E44" s="5"/>
      <c r="F44" s="5"/>
      <c r="G44" s="5"/>
      <c r="H44" s="5"/>
      <c r="I44" s="5"/>
      <c r="J44" s="5"/>
      <c r="K44" s="5"/>
      <c r="L44" s="5"/>
      <c r="M44" s="5"/>
    </row>
    <row r="45" spans="1:14" x14ac:dyDescent="0.3">
      <c r="A45" t="s">
        <v>333</v>
      </c>
      <c r="B45" t="s">
        <v>263</v>
      </c>
      <c r="C45" s="7">
        <f>$M$10*(1+$C$29/100)</f>
        <v>1034.0644530618376</v>
      </c>
      <c r="N45" t="s">
        <v>334</v>
      </c>
    </row>
    <row r="46" spans="1:14" x14ac:dyDescent="0.3">
      <c r="A46" t="s">
        <v>272</v>
      </c>
      <c r="B46" t="s">
        <v>263</v>
      </c>
      <c r="C46" s="7">
        <f>C45*$M$12/$M$10</f>
        <v>495.31687301662021</v>
      </c>
      <c r="N46" t="s">
        <v>335</v>
      </c>
    </row>
    <row r="47" spans="1:14" x14ac:dyDescent="0.3">
      <c r="A47" t="s">
        <v>274</v>
      </c>
      <c r="B47" t="s">
        <v>263</v>
      </c>
      <c r="C47" s="7">
        <f>$M$13</f>
        <v>4</v>
      </c>
      <c r="N47" t="s">
        <v>336</v>
      </c>
    </row>
    <row r="48" spans="1:14" x14ac:dyDescent="0.3">
      <c r="A48" t="s">
        <v>278</v>
      </c>
      <c r="B48" t="s">
        <v>263</v>
      </c>
      <c r="C48" s="7">
        <f>C45*depreciation_pct_of_revenue_long_term_pct/100</f>
        <v>93.065800775565378</v>
      </c>
      <c r="N48" t="s">
        <v>337</v>
      </c>
    </row>
    <row r="49" spans="1:14" x14ac:dyDescent="0.3">
      <c r="A49" t="s">
        <v>280</v>
      </c>
      <c r="B49" t="s">
        <v>263</v>
      </c>
      <c r="C49" s="7">
        <f>C46+C47-C48</f>
        <v>406.25107224105483</v>
      </c>
      <c r="N49" t="s">
        <v>338</v>
      </c>
    </row>
    <row r="50" spans="1:14" x14ac:dyDescent="0.3">
      <c r="A50" t="s">
        <v>282</v>
      </c>
      <c r="B50" t="s">
        <v>263</v>
      </c>
      <c r="C50" s="7">
        <f>C49*tax_rate_pct/100</f>
        <v>121.87532167231645</v>
      </c>
      <c r="N50" t="s">
        <v>283</v>
      </c>
    </row>
    <row r="51" spans="1:14" x14ac:dyDescent="0.3">
      <c r="A51" t="s">
        <v>286</v>
      </c>
      <c r="B51" t="s">
        <v>263</v>
      </c>
      <c r="C51" s="7">
        <f>C45*capex_pct_of_revenue_long_term_pct/100</f>
        <v>93.065800775565378</v>
      </c>
      <c r="N51" t="s">
        <v>337</v>
      </c>
    </row>
    <row r="52" spans="1:14" x14ac:dyDescent="0.3">
      <c r="A52" t="s">
        <v>288</v>
      </c>
      <c r="B52" t="s">
        <v>263</v>
      </c>
      <c r="C52" s="7">
        <f>(C45-$M$10)*working_capital_pct_of_revenue_pct/100</f>
        <v>0.99429274332868833</v>
      </c>
      <c r="N52" t="s">
        <v>339</v>
      </c>
    </row>
    <row r="53" spans="1:14" x14ac:dyDescent="0.3">
      <c r="A53" t="s">
        <v>290</v>
      </c>
      <c r="B53" t="s">
        <v>263</v>
      </c>
      <c r="C53" s="7">
        <f>$M$10*residential_and_mdc_share_of_revenue_pct/100*agent_dividend_pct_of_prior_year_revenue_pct/100</f>
        <v>13.061029476365675</v>
      </c>
      <c r="N53" t="s">
        <v>340</v>
      </c>
    </row>
    <row r="54" spans="1:14" x14ac:dyDescent="0.3">
      <c r="A54" t="s">
        <v>341</v>
      </c>
      <c r="B54" t="s">
        <v>263</v>
      </c>
      <c r="C54" s="7">
        <f>C49-C50+C48-C51-C52-C53</f>
        <v>270.32042834904405</v>
      </c>
      <c r="N54" t="s">
        <v>342</v>
      </c>
    </row>
    <row r="58" spans="1:14" x14ac:dyDescent="0.3">
      <c r="A58" s="5" t="s">
        <v>343</v>
      </c>
      <c r="B58" s="5"/>
      <c r="C58" s="5"/>
      <c r="D58" s="5"/>
      <c r="E58" s="5"/>
      <c r="F58" s="5"/>
      <c r="G58" s="5"/>
      <c r="H58" s="5"/>
      <c r="I58" s="5"/>
      <c r="J58" s="5"/>
      <c r="K58" s="5"/>
      <c r="L58" s="5"/>
      <c r="M58" s="5"/>
    </row>
    <row r="59" spans="1:14" x14ac:dyDescent="0.3">
      <c r="A59" t="s">
        <v>344</v>
      </c>
      <c r="B59" t="s">
        <v>255</v>
      </c>
      <c r="C59" s="4">
        <f>-sensitivity_steps_each_side</f>
        <v>-2</v>
      </c>
      <c r="D59" s="4">
        <f>C59+1</f>
        <v>-1</v>
      </c>
      <c r="E59" s="4">
        <f>D59+1</f>
        <v>0</v>
      </c>
      <c r="F59" s="4">
        <f>E59+1</f>
        <v>1</v>
      </c>
      <c r="G59" s="4">
        <f>F59+1</f>
        <v>2</v>
      </c>
      <c r="N59" t="s">
        <v>345</v>
      </c>
    </row>
    <row r="60" spans="1:14" x14ac:dyDescent="0.3">
      <c r="A60" t="s">
        <v>303</v>
      </c>
      <c r="B60" t="s">
        <v>270</v>
      </c>
      <c r="C60" s="6">
        <f>terminal_growth_pct+C59*sensitivity_growth_step_pct</f>
        <v>3</v>
      </c>
      <c r="D60" s="6">
        <f>terminal_growth_pct+D59*sensitivity_growth_step_pct</f>
        <v>3.5</v>
      </c>
      <c r="E60" s="6">
        <f>terminal_growth_pct+E59*sensitivity_growth_step_pct</f>
        <v>4</v>
      </c>
      <c r="F60" s="6">
        <f>terminal_growth_pct+F59*sensitivity_growth_step_pct</f>
        <v>4.5</v>
      </c>
      <c r="G60" s="6">
        <f>terminal_growth_pct+G59*sensitivity_growth_step_pct</f>
        <v>5</v>
      </c>
      <c r="N60" t="s">
        <v>346</v>
      </c>
    </row>
    <row r="61" spans="1:14" x14ac:dyDescent="0.3">
      <c r="A61" t="s">
        <v>333</v>
      </c>
      <c r="B61" t="s">
        <v>263</v>
      </c>
      <c r="C61" s="7">
        <f>$M$10*(1+C$60/100)</f>
        <v>1024.1215256285509</v>
      </c>
      <c r="D61" s="7">
        <f>$M$10*(1+D$60/100)</f>
        <v>1029.0929893451942</v>
      </c>
      <c r="E61" s="7">
        <f>$M$10*(1+E$60/100)</f>
        <v>1034.0644530618376</v>
      </c>
      <c r="F61" s="7">
        <f>$M$10*(1+F$60/100)</f>
        <v>1039.0359167784811</v>
      </c>
      <c r="G61" s="7">
        <f>$M$10*(1+G$60/100)</f>
        <v>1044.0073804951246</v>
      </c>
      <c r="N61" t="s">
        <v>347</v>
      </c>
    </row>
    <row r="62" spans="1:14" x14ac:dyDescent="0.3">
      <c r="A62" t="s">
        <v>272</v>
      </c>
      <c r="B62" t="s">
        <v>263</v>
      </c>
      <c r="C62" s="7">
        <f>C61*$M$12/$M$10</f>
        <v>490.55421077607588</v>
      </c>
      <c r="D62" s="7">
        <f>D61*$M$12/$M$10</f>
        <v>492.93554189634801</v>
      </c>
      <c r="E62" s="7">
        <f>E61*$M$12/$M$10</f>
        <v>495.31687301662021</v>
      </c>
      <c r="F62" s="7">
        <f>F61*$M$12/$M$10</f>
        <v>497.69820413689246</v>
      </c>
      <c r="G62" s="7">
        <f>G61*$M$12/$M$10</f>
        <v>500.07953525716465</v>
      </c>
      <c r="N62" t="s">
        <v>348</v>
      </c>
    </row>
    <row r="63" spans="1:14" x14ac:dyDescent="0.3">
      <c r="A63" t="s">
        <v>274</v>
      </c>
      <c r="B63" t="s">
        <v>263</v>
      </c>
      <c r="C63" s="7">
        <f>$M$13</f>
        <v>4</v>
      </c>
      <c r="D63" s="7">
        <f>$M$13</f>
        <v>4</v>
      </c>
      <c r="E63" s="7">
        <f>$M$13</f>
        <v>4</v>
      </c>
      <c r="F63" s="7">
        <f>$M$13</f>
        <v>4</v>
      </c>
      <c r="G63" s="7">
        <f>$M$13</f>
        <v>4</v>
      </c>
      <c r="N63" t="s">
        <v>349</v>
      </c>
    </row>
    <row r="64" spans="1:14" x14ac:dyDescent="0.3">
      <c r="A64" t="s">
        <v>278</v>
      </c>
      <c r="B64" t="s">
        <v>263</v>
      </c>
      <c r="C64" s="7">
        <f>C61*depreciation_pct_of_revenue_long_term_pct/100</f>
        <v>92.17093730656957</v>
      </c>
      <c r="D64" s="7">
        <f>D61*depreciation_pct_of_revenue_long_term_pct/100</f>
        <v>92.618369041067467</v>
      </c>
      <c r="E64" s="7">
        <f>E61*depreciation_pct_of_revenue_long_term_pct/100</f>
        <v>93.065800775565378</v>
      </c>
      <c r="F64" s="7">
        <f>F61*depreciation_pct_of_revenue_long_term_pct/100</f>
        <v>93.513232510063304</v>
      </c>
      <c r="G64" s="7">
        <f>G61*depreciation_pct_of_revenue_long_term_pct/100</f>
        <v>93.960664244561215</v>
      </c>
      <c r="N64" t="s">
        <v>350</v>
      </c>
    </row>
    <row r="65" spans="1:14" x14ac:dyDescent="0.3">
      <c r="A65" t="s">
        <v>280</v>
      </c>
      <c r="B65" t="s">
        <v>263</v>
      </c>
      <c r="C65" s="7">
        <f>C62+C63-C64</f>
        <v>402.38327346950632</v>
      </c>
      <c r="D65" s="7">
        <f>D62+D63-D64</f>
        <v>404.31717285528055</v>
      </c>
      <c r="E65" s="7">
        <f>E62+E63-E64</f>
        <v>406.25107224105483</v>
      </c>
      <c r="F65" s="7">
        <f>F62+F63-F64</f>
        <v>408.18497162682917</v>
      </c>
      <c r="G65" s="7">
        <f>G62+G63-G64</f>
        <v>410.11887101260345</v>
      </c>
      <c r="N65" t="s">
        <v>351</v>
      </c>
    </row>
    <row r="66" spans="1:14" x14ac:dyDescent="0.3">
      <c r="A66" t="s">
        <v>282</v>
      </c>
      <c r="B66" t="s">
        <v>263</v>
      </c>
      <c r="C66" s="7">
        <f>C65*tax_rate_pct/100</f>
        <v>120.71498204085191</v>
      </c>
      <c r="D66" s="7">
        <f>D65*tax_rate_pct/100</f>
        <v>121.29515185658416</v>
      </c>
      <c r="E66" s="7">
        <f>E65*tax_rate_pct/100</f>
        <v>121.87532167231645</v>
      </c>
      <c r="F66" s="7">
        <f>F65*tax_rate_pct/100</f>
        <v>122.45549148804875</v>
      </c>
      <c r="G66" s="7">
        <f>G65*tax_rate_pct/100</f>
        <v>123.03566130378104</v>
      </c>
      <c r="N66" t="s">
        <v>352</v>
      </c>
    </row>
    <row r="67" spans="1:14" x14ac:dyDescent="0.3">
      <c r="A67" t="s">
        <v>286</v>
      </c>
      <c r="B67" t="s">
        <v>263</v>
      </c>
      <c r="C67" s="7">
        <f>C61*capex_pct_of_revenue_long_term_pct/100</f>
        <v>92.17093730656957</v>
      </c>
      <c r="D67" s="7">
        <f>D61*capex_pct_of_revenue_long_term_pct/100</f>
        <v>92.618369041067467</v>
      </c>
      <c r="E67" s="7">
        <f>E61*capex_pct_of_revenue_long_term_pct/100</f>
        <v>93.065800775565378</v>
      </c>
      <c r="F67" s="7">
        <f>F61*capex_pct_of_revenue_long_term_pct/100</f>
        <v>93.513232510063304</v>
      </c>
      <c r="G67" s="7">
        <f>G61*capex_pct_of_revenue_long_term_pct/100</f>
        <v>93.960664244561215</v>
      </c>
      <c r="N67" t="s">
        <v>350</v>
      </c>
    </row>
    <row r="68" spans="1:14" x14ac:dyDescent="0.3">
      <c r="A68" t="s">
        <v>288</v>
      </c>
      <c r="B68" t="s">
        <v>263</v>
      </c>
      <c r="C68" s="7">
        <f>(C61-$M$10)*working_capital_pct_of_revenue_pct/100</f>
        <v>0.74571955749651975</v>
      </c>
      <c r="D68" s="7">
        <f>(D61-$M$10)*working_capital_pct_of_revenue_pct/100</f>
        <v>0.87000615041260121</v>
      </c>
      <c r="E68" s="7">
        <f>(E61-$M$10)*working_capital_pct_of_revenue_pct/100</f>
        <v>0.99429274332868833</v>
      </c>
      <c r="F68" s="7">
        <f>(F61-$M$10)*working_capital_pct_of_revenue_pct/100</f>
        <v>1.1185793362447753</v>
      </c>
      <c r="G68" s="7">
        <f>(G61-$M$10)*working_capital_pct_of_revenue_pct/100</f>
        <v>1.2428659291608626</v>
      </c>
      <c r="N68" t="s">
        <v>353</v>
      </c>
    </row>
    <row r="69" spans="1:14" x14ac:dyDescent="0.3">
      <c r="A69" t="s">
        <v>290</v>
      </c>
      <c r="B69" t="s">
        <v>263</v>
      </c>
      <c r="C69" s="7">
        <f>$M$10*residential_and_mdc_share_of_revenue_pct/100*agent_dividend_pct_of_prior_year_revenue_pct/100</f>
        <v>13.061029476365675</v>
      </c>
      <c r="D69" s="7">
        <f>$M$10*residential_and_mdc_share_of_revenue_pct/100*agent_dividend_pct_of_prior_year_revenue_pct/100</f>
        <v>13.061029476365675</v>
      </c>
      <c r="E69" s="7">
        <f>$M$10*residential_and_mdc_share_of_revenue_pct/100*agent_dividend_pct_of_prior_year_revenue_pct/100</f>
        <v>13.061029476365675</v>
      </c>
      <c r="F69" s="7">
        <f>$M$10*residential_and_mdc_share_of_revenue_pct/100*agent_dividend_pct_of_prior_year_revenue_pct/100</f>
        <v>13.061029476365675</v>
      </c>
      <c r="G69" s="7">
        <f>$M$10*residential_and_mdc_share_of_revenue_pct/100*agent_dividend_pct_of_prior_year_revenue_pct/100</f>
        <v>13.061029476365675</v>
      </c>
      <c r="N69" t="s">
        <v>354</v>
      </c>
    </row>
    <row r="70" spans="1:14" x14ac:dyDescent="0.3">
      <c r="A70" t="s">
        <v>341</v>
      </c>
      <c r="B70" t="s">
        <v>263</v>
      </c>
      <c r="C70" s="7">
        <f>C65-C66+C64-C67-C68-C69</f>
        <v>267.86154239479225</v>
      </c>
      <c r="D70" s="7">
        <f>D65-D66+D64-D67-D68-D69</f>
        <v>269.09098537191812</v>
      </c>
      <c r="E70" s="7">
        <f>E65-E66+E64-E67-E68-E69</f>
        <v>270.32042834904405</v>
      </c>
      <c r="F70" s="7">
        <f>F65-F66+F64-F67-F68-F69</f>
        <v>271.54987132617003</v>
      </c>
      <c r="G70" s="7">
        <f>G65-G66+G64-G67-G68-G69</f>
        <v>272.77931430329591</v>
      </c>
      <c r="N70" t="s">
        <v>355</v>
      </c>
    </row>
    <row r="72" spans="1:14" x14ac:dyDescent="0.3">
      <c r="A72" s="2" t="s">
        <v>356</v>
      </c>
      <c r="C72" s="6">
        <f>C60</f>
        <v>3</v>
      </c>
      <c r="D72" s="6">
        <f>D60</f>
        <v>3.5</v>
      </c>
      <c r="E72" s="6">
        <f>E60</f>
        <v>4</v>
      </c>
      <c r="F72" s="6">
        <f>F60</f>
        <v>4.5</v>
      </c>
      <c r="G72" s="6">
        <f>G60</f>
        <v>5</v>
      </c>
      <c r="H72" t="s">
        <v>357</v>
      </c>
      <c r="N72" t="s">
        <v>358</v>
      </c>
    </row>
    <row r="73" spans="1:14" x14ac:dyDescent="0.3">
      <c r="A73" s="4">
        <f>-sensitivity_steps_each_side</f>
        <v>-2</v>
      </c>
      <c r="B73" s="6">
        <f>$D$28+A73*sensitivity_rate_step_pct</f>
        <v>9</v>
      </c>
      <c r="C73" s="6">
        <f t="shared" ref="C73:G77" si="19">($H73+C$70/(($B73-C$72)/100)*(1+$B73/100)^(mid_year_discounting_flag/2)/(1+$B73/100)^(stub_period_years+$M$5)+$D$36-$D$38)/$D$40</f>
        <v>4.1412480080895335</v>
      </c>
      <c r="D73" s="6">
        <f t="shared" si="19"/>
        <v>4.4261049674160757</v>
      </c>
      <c r="E73" s="6">
        <f t="shared" si="19"/>
        <v>4.7679333186079269</v>
      </c>
      <c r="F73" s="6">
        <f t="shared" si="19"/>
        <v>5.1857235256201912</v>
      </c>
      <c r="G73" s="6">
        <f t="shared" si="19"/>
        <v>5.7079612843855196</v>
      </c>
      <c r="H73" s="7">
        <f>SUMPRODUCT($C$22:$M$22/(1+$B73/100)^$C$23:$M$23)</f>
        <v>938.41128160598612</v>
      </c>
      <c r="N73" t="s">
        <v>359</v>
      </c>
    </row>
    <row r="74" spans="1:14" x14ac:dyDescent="0.3">
      <c r="A74" s="4">
        <f>A73+1</f>
        <v>-1</v>
      </c>
      <c r="B74" s="6">
        <f>$D$28+A74*sensitivity_rate_step_pct</f>
        <v>9.5</v>
      </c>
      <c r="C74" s="6">
        <f t="shared" si="19"/>
        <v>3.7522273774146404</v>
      </c>
      <c r="D74" s="6">
        <f t="shared" si="19"/>
        <v>3.9834791887395942</v>
      </c>
      <c r="E74" s="6">
        <f t="shared" si="19"/>
        <v>4.2567767839418131</v>
      </c>
      <c r="F74" s="6">
        <f t="shared" si="19"/>
        <v>4.5847338981844752</v>
      </c>
      <c r="G74" s="6">
        <f t="shared" si="19"/>
        <v>4.9855703711477286</v>
      </c>
      <c r="H74" s="7">
        <f>SUMPRODUCT($C$22:$M$22/(1+$B74/100)^$C$23:$M$23)</f>
        <v>914.3244246897732</v>
      </c>
      <c r="N74" t="s">
        <v>359</v>
      </c>
    </row>
    <row r="75" spans="1:14" x14ac:dyDescent="0.3">
      <c r="A75" s="4">
        <f>A74+1</f>
        <v>0</v>
      </c>
      <c r="B75" s="6">
        <f>$D$28+A75*sensitivity_rate_step_pct</f>
        <v>10</v>
      </c>
      <c r="C75" s="6">
        <f t="shared" si="19"/>
        <v>3.4203398164239056</v>
      </c>
      <c r="D75" s="6">
        <f t="shared" si="19"/>
        <v>3.6105482347681837</v>
      </c>
      <c r="E75" s="6">
        <f t="shared" si="19"/>
        <v>3.8324580561698403</v>
      </c>
      <c r="F75" s="6">
        <f t="shared" si="19"/>
        <v>4.094715117826345</v>
      </c>
      <c r="G75" s="6">
        <f t="shared" si="19"/>
        <v>4.40942359181415</v>
      </c>
      <c r="H75" s="7">
        <f>SUMPRODUCT($C$22:$M$22/(1+$B75/100)^$C$23:$M$23)</f>
        <v>891.12591994208594</v>
      </c>
      <c r="N75" t="s">
        <v>359</v>
      </c>
    </row>
    <row r="76" spans="1:14" x14ac:dyDescent="0.3">
      <c r="A76" s="4">
        <f>A75+1</f>
        <v>1</v>
      </c>
      <c r="B76" s="6">
        <f>$D$28+A76*sensitivity_rate_step_pct</f>
        <v>10.5</v>
      </c>
      <c r="C76" s="6">
        <f t="shared" si="19"/>
        <v>3.1340997465891869</v>
      </c>
      <c r="D76" s="6">
        <f t="shared" si="19"/>
        <v>3.2923173718347227</v>
      </c>
      <c r="E76" s="6">
        <f t="shared" si="19"/>
        <v>3.4748761701949564</v>
      </c>
      <c r="F76" s="6">
        <f t="shared" si="19"/>
        <v>3.6878614349485632</v>
      </c>
      <c r="G76" s="6">
        <f t="shared" si="19"/>
        <v>3.9395712932937337</v>
      </c>
      <c r="H76" s="7">
        <f>SUMPRODUCT($C$22:$M$22/(1+$B76/100)^$C$23:$M$23)</f>
        <v>868.77656109189252</v>
      </c>
      <c r="N76" t="s">
        <v>359</v>
      </c>
    </row>
    <row r="77" spans="1:14" x14ac:dyDescent="0.3">
      <c r="A77" s="4">
        <f>A76+1</f>
        <v>2</v>
      </c>
      <c r="B77" s="6">
        <f>$D$28+A77*sensitivity_rate_step_pct</f>
        <v>11</v>
      </c>
      <c r="C77" s="6">
        <f t="shared" si="19"/>
        <v>2.8848955452667071</v>
      </c>
      <c r="D77" s="6">
        <f t="shared" si="19"/>
        <v>3.0177930605976329</v>
      </c>
      <c r="E77" s="6">
        <f t="shared" si="19"/>
        <v>3.169675935261548</v>
      </c>
      <c r="F77" s="6">
        <f t="shared" si="19"/>
        <v>3.3449254060276048</v>
      </c>
      <c r="G77" s="6">
        <f t="shared" si="19"/>
        <v>3.5493831219213376</v>
      </c>
      <c r="H77" s="7">
        <f>SUMPRODUCT($C$22:$M$22/(1+$B77/100)^$C$23:$M$23)</f>
        <v>847.2391066609631</v>
      </c>
      <c r="N77" t="s">
        <v>359</v>
      </c>
    </row>
    <row r="80" spans="1:14" x14ac:dyDescent="0.3">
      <c r="A80" s="5" t="s">
        <v>360</v>
      </c>
      <c r="B80" s="5"/>
      <c r="C80" s="5" t="s">
        <v>297</v>
      </c>
      <c r="D80" s="5" t="s">
        <v>299</v>
      </c>
      <c r="E80" s="5"/>
      <c r="F80" s="5"/>
      <c r="G80" s="5"/>
      <c r="H80" s="5"/>
      <c r="I80" s="5"/>
      <c r="J80" s="5"/>
      <c r="K80" s="5"/>
      <c r="L80" s="5"/>
      <c r="M80" s="5"/>
    </row>
    <row r="81" spans="1:14" x14ac:dyDescent="0.3">
      <c r="A81" t="s">
        <v>361</v>
      </c>
      <c r="B81" t="s">
        <v>270</v>
      </c>
      <c r="C81" s="12">
        <f>risk_free_rate_pct</f>
        <v>4.2489999999999997</v>
      </c>
      <c r="D81" s="12">
        <f>risk_free_rate_pct</f>
        <v>4.2489999999999997</v>
      </c>
      <c r="N81" t="s">
        <v>362</v>
      </c>
    </row>
    <row r="82" spans="1:14" x14ac:dyDescent="0.3">
      <c r="A82" t="s">
        <v>363</v>
      </c>
      <c r="B82" t="s">
        <v>255</v>
      </c>
      <c r="C82" s="6">
        <f>equity_beta_low</f>
        <v>1</v>
      </c>
      <c r="D82" s="6">
        <f>equity_beta_high</f>
        <v>1.1000000000000001</v>
      </c>
      <c r="N82" t="s">
        <v>364</v>
      </c>
    </row>
    <row r="83" spans="1:14" x14ac:dyDescent="0.3">
      <c r="A83" t="s">
        <v>365</v>
      </c>
      <c r="B83" t="s">
        <v>270</v>
      </c>
      <c r="C83" s="6">
        <f>market_risk_premium_pct</f>
        <v>6</v>
      </c>
      <c r="D83" s="6">
        <f>market_risk_premium_pct</f>
        <v>6</v>
      </c>
      <c r="N83" t="s">
        <v>366</v>
      </c>
    </row>
    <row r="84" spans="1:14" x14ac:dyDescent="0.3">
      <c r="A84" t="s">
        <v>367</v>
      </c>
      <c r="B84" t="s">
        <v>270</v>
      </c>
      <c r="C84" s="6">
        <f>C81+C82*C83</f>
        <v>10.248999999999999</v>
      </c>
      <c r="D84" s="6">
        <f>D81+D82*D83</f>
        <v>10.849</v>
      </c>
      <c r="N84" t="s">
        <v>368</v>
      </c>
    </row>
    <row r="85" spans="1:14" x14ac:dyDescent="0.3">
      <c r="A85" t="s">
        <v>369</v>
      </c>
      <c r="B85" t="s">
        <v>270</v>
      </c>
      <c r="C85" s="6">
        <f>C81+cost_of_debt_margin_over_risk_free_pct</f>
        <v>5.4489999999999998</v>
      </c>
      <c r="D85" s="6">
        <f>D81+cost_of_debt_margin_over_risk_free_pct</f>
        <v>5.4489999999999998</v>
      </c>
      <c r="N85" t="s">
        <v>370</v>
      </c>
    </row>
    <row r="86" spans="1:14" x14ac:dyDescent="0.3">
      <c r="A86" t="s">
        <v>371</v>
      </c>
      <c r="B86" t="s">
        <v>270</v>
      </c>
      <c r="C86" s="6">
        <f>C85*(1-tax_rate_pct/100)</f>
        <v>3.8142999999999998</v>
      </c>
      <c r="D86" s="6">
        <f>D85*(1-tax_rate_pct/100)</f>
        <v>3.8142999999999998</v>
      </c>
      <c r="N86" t="s">
        <v>372</v>
      </c>
    </row>
    <row r="87" spans="1:14" x14ac:dyDescent="0.3">
      <c r="A87" t="s">
        <v>373</v>
      </c>
      <c r="B87" t="s">
        <v>270</v>
      </c>
      <c r="C87" s="6">
        <f>equity_weight_low_pct</f>
        <v>85</v>
      </c>
      <c r="D87" s="6">
        <f>equity_weight_high_pct</f>
        <v>95</v>
      </c>
      <c r="N87" t="s">
        <v>374</v>
      </c>
    </row>
    <row r="88" spans="1:14" x14ac:dyDescent="0.3">
      <c r="A88" s="2" t="s">
        <v>375</v>
      </c>
      <c r="B88" s="2" t="s">
        <v>270</v>
      </c>
      <c r="C88" s="11">
        <f>C87/100*C84+(1-C87/100)*C86</f>
        <v>9.2837949999999996</v>
      </c>
      <c r="D88" s="11">
        <f>D87/100*D84+(1-D87/100)*D86</f>
        <v>10.497265000000001</v>
      </c>
      <c r="N88" t="s">
        <v>376</v>
      </c>
    </row>
    <row r="90" spans="1:14" x14ac:dyDescent="0.3">
      <c r="A90" s="5" t="s">
        <v>377</v>
      </c>
      <c r="B90" s="5"/>
      <c r="C90" s="5" t="s">
        <v>297</v>
      </c>
      <c r="D90" s="5" t="s">
        <v>299</v>
      </c>
      <c r="E90" s="5"/>
      <c r="F90" s="5"/>
      <c r="G90" s="5"/>
      <c r="H90" s="5"/>
      <c r="I90" s="5"/>
      <c r="J90" s="5"/>
      <c r="K90" s="5"/>
      <c r="L90" s="5"/>
      <c r="M90" s="5"/>
    </row>
    <row r="91" spans="1:14" x14ac:dyDescent="0.3">
      <c r="A91" t="s">
        <v>361</v>
      </c>
      <c r="B91" t="s">
        <v>270</v>
      </c>
      <c r="C91" s="12">
        <f>expert_risk_free_rate_pct</f>
        <v>4.3</v>
      </c>
      <c r="D91" s="12">
        <f>expert_risk_free_rate_pct</f>
        <v>4.3</v>
      </c>
      <c r="N91" t="s">
        <v>362</v>
      </c>
    </row>
    <row r="92" spans="1:14" x14ac:dyDescent="0.3">
      <c r="A92" t="s">
        <v>363</v>
      </c>
      <c r="B92" t="s">
        <v>255</v>
      </c>
      <c r="C92" s="6">
        <f>equity_beta_low</f>
        <v>1</v>
      </c>
      <c r="D92" s="6">
        <f>equity_beta_high</f>
        <v>1.1000000000000001</v>
      </c>
      <c r="N92" t="s">
        <v>364</v>
      </c>
    </row>
    <row r="93" spans="1:14" x14ac:dyDescent="0.3">
      <c r="A93" t="s">
        <v>365</v>
      </c>
      <c r="B93" t="s">
        <v>270</v>
      </c>
      <c r="C93" s="6">
        <f>market_risk_premium_pct</f>
        <v>6</v>
      </c>
      <c r="D93" s="6">
        <f>market_risk_premium_pct</f>
        <v>6</v>
      </c>
      <c r="N93" t="s">
        <v>366</v>
      </c>
    </row>
    <row r="94" spans="1:14" x14ac:dyDescent="0.3">
      <c r="A94" t="s">
        <v>367</v>
      </c>
      <c r="B94" t="s">
        <v>270</v>
      </c>
      <c r="C94" s="6">
        <f>C91+C92*C93</f>
        <v>10.3</v>
      </c>
      <c r="D94" s="6">
        <f>D91+D92*D93</f>
        <v>10.9</v>
      </c>
      <c r="N94" t="s">
        <v>368</v>
      </c>
    </row>
    <row r="95" spans="1:14" x14ac:dyDescent="0.3">
      <c r="A95" t="s">
        <v>369</v>
      </c>
      <c r="B95" t="s">
        <v>270</v>
      </c>
      <c r="C95" s="6">
        <f>C91+cost_of_debt_margin_over_risk_free_pct</f>
        <v>5.5</v>
      </c>
      <c r="D95" s="6">
        <f>D91+cost_of_debt_margin_over_risk_free_pct</f>
        <v>5.5</v>
      </c>
      <c r="N95" t="s">
        <v>370</v>
      </c>
    </row>
    <row r="96" spans="1:14" x14ac:dyDescent="0.3">
      <c r="A96" t="s">
        <v>371</v>
      </c>
      <c r="B96" t="s">
        <v>270</v>
      </c>
      <c r="C96" s="6">
        <f>C95*(1-tax_rate_pct/100)</f>
        <v>3.8499999999999996</v>
      </c>
      <c r="D96" s="6">
        <f>D95*(1-tax_rate_pct/100)</f>
        <v>3.8499999999999996</v>
      </c>
      <c r="N96" t="s">
        <v>372</v>
      </c>
    </row>
    <row r="97" spans="1:14" x14ac:dyDescent="0.3">
      <c r="A97" t="s">
        <v>373</v>
      </c>
      <c r="B97" t="s">
        <v>270</v>
      </c>
      <c r="C97" s="6">
        <f>equity_weight_low_pct</f>
        <v>85</v>
      </c>
      <c r="D97" s="6">
        <f>equity_weight_high_pct</f>
        <v>95</v>
      </c>
      <c r="N97" t="s">
        <v>374</v>
      </c>
    </row>
    <row r="98" spans="1:14" x14ac:dyDescent="0.3">
      <c r="A98" s="2" t="s">
        <v>375</v>
      </c>
      <c r="B98" s="2" t="s">
        <v>270</v>
      </c>
      <c r="C98" s="11">
        <f>C97/100*C94+(1-C97/100)*C96</f>
        <v>9.3325000000000014</v>
      </c>
      <c r="D98" s="11">
        <f>D97/100*D94+(1-D97/100)*D96</f>
        <v>10.547500000000001</v>
      </c>
      <c r="N98" t="s">
        <v>376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5"/>
  <sheetViews>
    <sheetView workbookViewId="0"/>
  </sheetViews>
  <sheetFormatPr defaultRowHeight="14.4" x14ac:dyDescent="0.3"/>
  <cols>
    <col min="1" max="1" width="44" customWidth="1"/>
    <col min="2" max="2" width="9" customWidth="1"/>
    <col min="3" max="6" width="18" customWidth="1"/>
    <col min="7" max="7" width="40" customWidth="1"/>
    <col min="8" max="8" width="34" customWidth="1"/>
    <col min="9" max="9" width="14" customWidth="1"/>
    <col min="10" max="10" width="90" customWidth="1"/>
  </cols>
  <sheetData>
    <row r="1" spans="1:10" ht="18" x14ac:dyDescent="0.35">
      <c r="A1" s="1" t="s">
        <v>378</v>
      </c>
    </row>
    <row r="2" spans="1:10" x14ac:dyDescent="0.3">
      <c r="A2" t="s">
        <v>379</v>
      </c>
    </row>
    <row r="4" spans="1:10" x14ac:dyDescent="0.3">
      <c r="A4" s="5" t="s">
        <v>380</v>
      </c>
      <c r="B4" s="5"/>
      <c r="C4" s="5" t="s">
        <v>297</v>
      </c>
      <c r="D4" s="5" t="s">
        <v>298</v>
      </c>
      <c r="E4" s="5" t="s">
        <v>299</v>
      </c>
    </row>
    <row r="5" spans="1:10" x14ac:dyDescent="0.3">
      <c r="A5" t="s">
        <v>381</v>
      </c>
      <c r="B5" t="s">
        <v>263</v>
      </c>
      <c r="C5" s="7">
        <f>fy26_adjusted_ebitda_aud_m</f>
        <v>152.19999999999999</v>
      </c>
      <c r="D5" s="7">
        <f>fy26_adjusted_ebitda_aud_m</f>
        <v>152.19999999999999</v>
      </c>
      <c r="E5" s="7">
        <f>fy26_adjusted_ebitda_aud_m</f>
        <v>152.19999999999999</v>
      </c>
      <c r="J5" t="s">
        <v>382</v>
      </c>
    </row>
    <row r="6" spans="1:10" x14ac:dyDescent="0.3">
      <c r="A6" t="s">
        <v>383</v>
      </c>
      <c r="B6" t="s">
        <v>384</v>
      </c>
      <c r="C6" s="13">
        <f>trading_ebitda_multiple_fy26_low_x</f>
        <v>16.3</v>
      </c>
      <c r="D6" s="13">
        <f>(C6+E6)/2</f>
        <v>17.700000000000003</v>
      </c>
      <c r="E6" s="13">
        <f>trading_ebitda_multiple_fy26_high_x</f>
        <v>19.100000000000001</v>
      </c>
      <c r="J6" t="s">
        <v>385</v>
      </c>
    </row>
    <row r="7" spans="1:10" x14ac:dyDescent="0.3">
      <c r="A7" t="s">
        <v>386</v>
      </c>
      <c r="B7" t="s">
        <v>263</v>
      </c>
      <c r="C7" s="7">
        <f>C5*C6</f>
        <v>2480.86</v>
      </c>
      <c r="D7" s="7">
        <f>D5*D6</f>
        <v>2693.94</v>
      </c>
      <c r="E7" s="7">
        <f>E5*E6</f>
        <v>2907.02</v>
      </c>
      <c r="J7" t="s">
        <v>387</v>
      </c>
    </row>
    <row r="8" spans="1:10" x14ac:dyDescent="0.3">
      <c r="A8" t="s">
        <v>388</v>
      </c>
      <c r="B8" t="s">
        <v>270</v>
      </c>
      <c r="C8" s="6">
        <f>control_premium_applied_pct</f>
        <v>25</v>
      </c>
      <c r="D8" s="6">
        <f>control_premium_applied_pct</f>
        <v>25</v>
      </c>
      <c r="E8" s="6">
        <f>control_premium_applied_pct</f>
        <v>25</v>
      </c>
      <c r="J8" t="s">
        <v>389</v>
      </c>
    </row>
    <row r="9" spans="1:10" x14ac:dyDescent="0.3">
      <c r="A9" t="s">
        <v>314</v>
      </c>
      <c r="B9" t="s">
        <v>263</v>
      </c>
      <c r="C9" s="7">
        <f>C7*(1+C8/100)</f>
        <v>3101.0750000000003</v>
      </c>
      <c r="D9" s="7">
        <f>D7*(1+D8/100)</f>
        <v>3367.4250000000002</v>
      </c>
      <c r="E9" s="7">
        <f>E7*(1+E8/100)</f>
        <v>3633.7750000000001</v>
      </c>
      <c r="J9" t="s">
        <v>390</v>
      </c>
    </row>
    <row r="10" spans="1:10" x14ac:dyDescent="0.3">
      <c r="A10" t="s">
        <v>318</v>
      </c>
      <c r="B10" t="s">
        <v>263</v>
      </c>
      <c r="C10" s="7">
        <f>other_assets_and_liabilities_aud_m</f>
        <v>-7.6</v>
      </c>
      <c r="D10" s="7">
        <f>other_assets_and_liabilities_aud_m</f>
        <v>-7.6</v>
      </c>
      <c r="E10" s="7">
        <f>other_assets_and_liabilities_aud_m</f>
        <v>-7.6</v>
      </c>
      <c r="J10" t="s">
        <v>319</v>
      </c>
    </row>
    <row r="11" spans="1:10" x14ac:dyDescent="0.3">
      <c r="A11" t="s">
        <v>320</v>
      </c>
      <c r="B11" t="s">
        <v>263</v>
      </c>
      <c r="C11" s="7">
        <f>C9+C10</f>
        <v>3093.4750000000004</v>
      </c>
      <c r="D11" s="7">
        <f>D9+D10</f>
        <v>3359.8250000000003</v>
      </c>
      <c r="E11" s="7">
        <f>E9+E10</f>
        <v>3626.1750000000002</v>
      </c>
      <c r="J11" t="s">
        <v>321</v>
      </c>
    </row>
    <row r="12" spans="1:10" x14ac:dyDescent="0.3">
      <c r="A12" t="s">
        <v>322</v>
      </c>
      <c r="B12" t="s">
        <v>263</v>
      </c>
      <c r="C12" s="7">
        <f>adjusted_net_debt_aud_m</f>
        <v>186.99999999999997</v>
      </c>
      <c r="D12" s="7">
        <f>adjusted_net_debt_aud_m</f>
        <v>186.99999999999997</v>
      </c>
      <c r="E12" s="7">
        <f>adjusted_net_debt_aud_m</f>
        <v>186.99999999999997</v>
      </c>
      <c r="J12" t="s">
        <v>391</v>
      </c>
    </row>
    <row r="13" spans="1:10" x14ac:dyDescent="0.3">
      <c r="A13" t="s">
        <v>324</v>
      </c>
      <c r="B13" t="s">
        <v>263</v>
      </c>
      <c r="C13" s="7">
        <f>C11-C12</f>
        <v>2906.4750000000004</v>
      </c>
      <c r="D13" s="7">
        <f>D11-D12</f>
        <v>3172.8250000000003</v>
      </c>
      <c r="E13" s="7">
        <f>E11-E12</f>
        <v>3439.1750000000002</v>
      </c>
      <c r="J13" t="s">
        <v>325</v>
      </c>
    </row>
    <row r="14" spans="1:10" x14ac:dyDescent="0.3">
      <c r="A14" t="s">
        <v>326</v>
      </c>
      <c r="B14" t="s">
        <v>327</v>
      </c>
      <c r="C14" s="10">
        <f>dcf_diluted_shares_m_low</f>
        <v>635.50775199999998</v>
      </c>
      <c r="D14" s="10">
        <f>dcf_diluted_shares_m_mid</f>
        <v>634.97882299999992</v>
      </c>
      <c r="E14" s="10">
        <f>dcf_diluted_shares_m_high</f>
        <v>634.44989399999997</v>
      </c>
      <c r="J14" t="s">
        <v>392</v>
      </c>
    </row>
    <row r="15" spans="1:10" x14ac:dyDescent="0.3">
      <c r="A15" s="2" t="s">
        <v>329</v>
      </c>
      <c r="B15" s="2" t="s">
        <v>330</v>
      </c>
      <c r="C15" s="11">
        <f>C13/C14</f>
        <v>4.5734689952295033</v>
      </c>
      <c r="D15" s="11">
        <f>D13/D14</f>
        <v>4.996741442509494</v>
      </c>
      <c r="E15" s="11">
        <f>E13/E14</f>
        <v>5.420719638421124</v>
      </c>
      <c r="J15" t="s">
        <v>331</v>
      </c>
    </row>
    <row r="18" spans="1:10" x14ac:dyDescent="0.3">
      <c r="A18" s="5" t="s">
        <v>393</v>
      </c>
      <c r="B18" s="5"/>
      <c r="C18" s="5" t="s">
        <v>297</v>
      </c>
      <c r="D18" s="5" t="s">
        <v>298</v>
      </c>
      <c r="E18" s="5" t="s">
        <v>299</v>
      </c>
    </row>
    <row r="19" spans="1:10" x14ac:dyDescent="0.3">
      <c r="A19" t="s">
        <v>394</v>
      </c>
      <c r="B19" t="s">
        <v>263</v>
      </c>
      <c r="C19" s="7">
        <f>fy26_adjusted_ebita_aud_m</f>
        <v>119.2</v>
      </c>
      <c r="D19" s="7">
        <f>fy26_adjusted_ebita_aud_m</f>
        <v>119.2</v>
      </c>
      <c r="E19" s="7">
        <f>fy26_adjusted_ebita_aud_m</f>
        <v>119.2</v>
      </c>
      <c r="J19" t="s">
        <v>382</v>
      </c>
    </row>
    <row r="20" spans="1:10" x14ac:dyDescent="0.3">
      <c r="A20" t="s">
        <v>383</v>
      </c>
      <c r="B20" t="s">
        <v>384</v>
      </c>
      <c r="C20" s="13">
        <f>trading_ebita_multiple_fy26_low_x</f>
        <v>19.399999999999999</v>
      </c>
      <c r="D20" s="13">
        <f>(C20+E20)/2</f>
        <v>21.6</v>
      </c>
      <c r="E20" s="13">
        <f>trading_ebita_multiple_fy26_high_x</f>
        <v>23.8</v>
      </c>
      <c r="J20" t="s">
        <v>385</v>
      </c>
    </row>
    <row r="21" spans="1:10" x14ac:dyDescent="0.3">
      <c r="A21" t="s">
        <v>386</v>
      </c>
      <c r="B21" t="s">
        <v>263</v>
      </c>
      <c r="C21" s="7">
        <f>C19*C20</f>
        <v>2312.48</v>
      </c>
      <c r="D21" s="7">
        <f>D19*D20</f>
        <v>2574.7200000000003</v>
      </c>
      <c r="E21" s="7">
        <f>E19*E20</f>
        <v>2836.96</v>
      </c>
      <c r="J21" t="s">
        <v>387</v>
      </c>
    </row>
    <row r="22" spans="1:10" x14ac:dyDescent="0.3">
      <c r="A22" t="s">
        <v>388</v>
      </c>
      <c r="B22" t="s">
        <v>270</v>
      </c>
      <c r="C22" s="6">
        <f>control_premium_applied_pct</f>
        <v>25</v>
      </c>
      <c r="D22" s="6">
        <f>control_premium_applied_pct</f>
        <v>25</v>
      </c>
      <c r="E22" s="6">
        <f>control_premium_applied_pct</f>
        <v>25</v>
      </c>
      <c r="J22" t="s">
        <v>389</v>
      </c>
    </row>
    <row r="23" spans="1:10" x14ac:dyDescent="0.3">
      <c r="A23" t="s">
        <v>314</v>
      </c>
      <c r="B23" t="s">
        <v>263</v>
      </c>
      <c r="C23" s="7">
        <f>C21*(1+C22/100)</f>
        <v>2890.6</v>
      </c>
      <c r="D23" s="7">
        <f>D21*(1+D22/100)</f>
        <v>3218.4000000000005</v>
      </c>
      <c r="E23" s="7">
        <f>E21*(1+E22/100)</f>
        <v>3546.2</v>
      </c>
      <c r="J23" t="s">
        <v>390</v>
      </c>
    </row>
    <row r="24" spans="1:10" x14ac:dyDescent="0.3">
      <c r="A24" t="s">
        <v>318</v>
      </c>
      <c r="B24" t="s">
        <v>263</v>
      </c>
      <c r="C24" s="7">
        <f>other_assets_and_liabilities_aud_m</f>
        <v>-7.6</v>
      </c>
      <c r="D24" s="7">
        <f>other_assets_and_liabilities_aud_m</f>
        <v>-7.6</v>
      </c>
      <c r="E24" s="7">
        <f>other_assets_and_liabilities_aud_m</f>
        <v>-7.6</v>
      </c>
      <c r="J24" t="s">
        <v>319</v>
      </c>
    </row>
    <row r="25" spans="1:10" x14ac:dyDescent="0.3">
      <c r="A25" t="s">
        <v>320</v>
      </c>
      <c r="B25" t="s">
        <v>263</v>
      </c>
      <c r="C25" s="7">
        <f>C23+C24</f>
        <v>2883</v>
      </c>
      <c r="D25" s="7">
        <f>D23+D24</f>
        <v>3210.8000000000006</v>
      </c>
      <c r="E25" s="7">
        <f>E23+E24</f>
        <v>3538.6</v>
      </c>
      <c r="J25" t="s">
        <v>321</v>
      </c>
    </row>
    <row r="26" spans="1:10" x14ac:dyDescent="0.3">
      <c r="A26" t="s">
        <v>322</v>
      </c>
      <c r="B26" t="s">
        <v>263</v>
      </c>
      <c r="C26" s="7">
        <f>adjusted_net_debt_aud_m</f>
        <v>186.99999999999997</v>
      </c>
      <c r="D26" s="7">
        <f>adjusted_net_debt_aud_m</f>
        <v>186.99999999999997</v>
      </c>
      <c r="E26" s="7">
        <f>adjusted_net_debt_aud_m</f>
        <v>186.99999999999997</v>
      </c>
      <c r="J26" t="s">
        <v>391</v>
      </c>
    </row>
    <row r="27" spans="1:10" x14ac:dyDescent="0.3">
      <c r="A27" t="s">
        <v>324</v>
      </c>
      <c r="B27" t="s">
        <v>263</v>
      </c>
      <c r="C27" s="7">
        <f>C25-C26</f>
        <v>2696</v>
      </c>
      <c r="D27" s="7">
        <f>D25-D26</f>
        <v>3023.8000000000006</v>
      </c>
      <c r="E27" s="7">
        <f>E25-E26</f>
        <v>3351.6</v>
      </c>
      <c r="J27" t="s">
        <v>325</v>
      </c>
    </row>
    <row r="28" spans="1:10" x14ac:dyDescent="0.3">
      <c r="A28" t="s">
        <v>326</v>
      </c>
      <c r="B28" t="s">
        <v>327</v>
      </c>
      <c r="C28" s="10">
        <f>dcf_diluted_shares_m_low</f>
        <v>635.50775199999998</v>
      </c>
      <c r="D28" s="10">
        <f>dcf_diluted_shares_m_mid</f>
        <v>634.97882299999992</v>
      </c>
      <c r="E28" s="10">
        <f>dcf_diluted_shares_m_high</f>
        <v>634.44989399999997</v>
      </c>
      <c r="J28" t="s">
        <v>392</v>
      </c>
    </row>
    <row r="29" spans="1:10" x14ac:dyDescent="0.3">
      <c r="A29" s="2" t="s">
        <v>329</v>
      </c>
      <c r="B29" s="2" t="s">
        <v>330</v>
      </c>
      <c r="C29" s="11">
        <f>C27/C28</f>
        <v>4.2422771264637538</v>
      </c>
      <c r="D29" s="11">
        <f>D27/D28</f>
        <v>4.762048576224724</v>
      </c>
      <c r="E29" s="11">
        <f>E27/E28</f>
        <v>5.2826866734412281</v>
      </c>
      <c r="J29" t="s">
        <v>331</v>
      </c>
    </row>
    <row r="33" spans="1:10" x14ac:dyDescent="0.3">
      <c r="A33" s="5" t="s">
        <v>395</v>
      </c>
      <c r="B33" s="5"/>
      <c r="C33" s="5"/>
      <c r="D33" s="5"/>
      <c r="E33" s="5"/>
      <c r="F33" s="5"/>
      <c r="G33" s="5"/>
      <c r="H33" s="5"/>
      <c r="I33" s="5"/>
    </row>
    <row r="34" spans="1:10" x14ac:dyDescent="0.3">
      <c r="A34" s="2" t="s">
        <v>396</v>
      </c>
      <c r="C34" s="2" t="s">
        <v>397</v>
      </c>
      <c r="D34" s="2" t="s">
        <v>398</v>
      </c>
      <c r="E34" s="2" t="s">
        <v>399</v>
      </c>
      <c r="F34" s="2" t="s">
        <v>400</v>
      </c>
      <c r="G34" s="2" t="s">
        <v>8</v>
      </c>
      <c r="H34" s="2" t="s">
        <v>9</v>
      </c>
      <c r="I34" s="2" t="s">
        <v>10</v>
      </c>
    </row>
    <row r="35" spans="1:10" x14ac:dyDescent="0.3">
      <c r="A35" t="s">
        <v>401</v>
      </c>
      <c r="C35" s="13">
        <v>37.700000000000003</v>
      </c>
      <c r="D35" s="13">
        <v>32.6</v>
      </c>
      <c r="E35" s="13">
        <v>43.4</v>
      </c>
      <c r="F35" s="13">
        <v>37.700000000000003</v>
      </c>
      <c r="G35" t="s">
        <v>16</v>
      </c>
      <c r="H35" t="s">
        <v>402</v>
      </c>
      <c r="I35" t="s">
        <v>70</v>
      </c>
    </row>
    <row r="36" spans="1:10" x14ac:dyDescent="0.3">
      <c r="A36" t="s">
        <v>403</v>
      </c>
      <c r="C36" s="13">
        <v>25.1</v>
      </c>
      <c r="D36" s="13">
        <v>22.8</v>
      </c>
      <c r="E36" s="13">
        <v>28.7</v>
      </c>
      <c r="F36" s="13">
        <v>23.1</v>
      </c>
      <c r="G36" t="s">
        <v>16</v>
      </c>
      <c r="H36" t="s">
        <v>402</v>
      </c>
      <c r="I36" t="s">
        <v>70</v>
      </c>
    </row>
    <row r="37" spans="1:10" x14ac:dyDescent="0.3">
      <c r="A37" t="s">
        <v>404</v>
      </c>
      <c r="C37" s="13">
        <v>16.399999999999999</v>
      </c>
      <c r="D37" s="13">
        <v>16.3</v>
      </c>
      <c r="E37" s="13">
        <v>22.9</v>
      </c>
      <c r="F37" s="13">
        <v>23.8</v>
      </c>
      <c r="G37" t="s">
        <v>16</v>
      </c>
      <c r="H37" t="s">
        <v>402</v>
      </c>
      <c r="I37" t="s">
        <v>70</v>
      </c>
    </row>
    <row r="38" spans="1:10" x14ac:dyDescent="0.3">
      <c r="A38" t="s">
        <v>405</v>
      </c>
      <c r="C38" s="13">
        <v>40.799999999999997</v>
      </c>
      <c r="D38" s="13">
        <v>30.5</v>
      </c>
      <c r="E38" s="13">
        <v>42.6</v>
      </c>
      <c r="F38" s="13">
        <v>31.5</v>
      </c>
      <c r="G38" t="s">
        <v>16</v>
      </c>
      <c r="H38" t="s">
        <v>402</v>
      </c>
      <c r="I38" t="s">
        <v>70</v>
      </c>
    </row>
    <row r="39" spans="1:10" x14ac:dyDescent="0.3">
      <c r="A39" t="s">
        <v>406</v>
      </c>
      <c r="C39" s="13">
        <v>27.6</v>
      </c>
      <c r="D39" s="13">
        <v>22.2</v>
      </c>
      <c r="E39" s="13">
        <v>31.3</v>
      </c>
      <c r="F39" s="13">
        <v>25.6</v>
      </c>
      <c r="G39" t="s">
        <v>16</v>
      </c>
      <c r="H39" t="s">
        <v>402</v>
      </c>
      <c r="I39" t="s">
        <v>70</v>
      </c>
    </row>
    <row r="40" spans="1:10" x14ac:dyDescent="0.3">
      <c r="A40" t="s">
        <v>407</v>
      </c>
      <c r="C40" s="13">
        <v>21.2</v>
      </c>
      <c r="D40" s="13">
        <v>19.100000000000001</v>
      </c>
      <c r="E40" s="13">
        <v>21.5</v>
      </c>
      <c r="F40" s="13">
        <v>19.399999999999999</v>
      </c>
      <c r="G40" t="s">
        <v>16</v>
      </c>
      <c r="H40" t="s">
        <v>402</v>
      </c>
      <c r="I40" t="s">
        <v>70</v>
      </c>
    </row>
    <row r="41" spans="1:10" x14ac:dyDescent="0.3">
      <c r="A41" t="s">
        <v>408</v>
      </c>
      <c r="C41" s="13">
        <v>37.700000000000003</v>
      </c>
      <c r="D41" s="13">
        <v>32</v>
      </c>
      <c r="E41" s="13">
        <v>38.200000000000003</v>
      </c>
      <c r="F41" s="13">
        <v>32.299999999999997</v>
      </c>
      <c r="G41" t="s">
        <v>16</v>
      </c>
      <c r="H41" t="s">
        <v>402</v>
      </c>
      <c r="I41" t="s">
        <v>70</v>
      </c>
    </row>
    <row r="42" spans="1:10" x14ac:dyDescent="0.3">
      <c r="A42" t="s">
        <v>409</v>
      </c>
      <c r="C42" s="13">
        <v>31.6</v>
      </c>
      <c r="D42" s="13">
        <v>27.2</v>
      </c>
      <c r="E42" s="13">
        <v>50.1</v>
      </c>
      <c r="F42" s="13">
        <v>39</v>
      </c>
      <c r="G42" t="s">
        <v>16</v>
      </c>
      <c r="H42" t="s">
        <v>402</v>
      </c>
      <c r="I42" t="s">
        <v>70</v>
      </c>
    </row>
    <row r="43" spans="1:10" x14ac:dyDescent="0.3">
      <c r="A43" s="2" t="s">
        <v>410</v>
      </c>
      <c r="C43" s="13">
        <f>MIN(C35:C42)</f>
        <v>16.399999999999999</v>
      </c>
      <c r="D43" s="13">
        <f>MIN(D35:D42)</f>
        <v>16.3</v>
      </c>
      <c r="E43" s="13">
        <f>MIN(E35:E42)</f>
        <v>21.5</v>
      </c>
      <c r="F43" s="13">
        <f>MIN(F35:F42)</f>
        <v>19.399999999999999</v>
      </c>
      <c r="J43" t="s">
        <v>411</v>
      </c>
    </row>
    <row r="44" spans="1:10" x14ac:dyDescent="0.3">
      <c r="A44" s="2" t="s">
        <v>412</v>
      </c>
      <c r="C44" s="13">
        <f>MEDIAN(C35:C42)</f>
        <v>29.6</v>
      </c>
      <c r="D44" s="13">
        <f>MEDIAN(D35:D42)</f>
        <v>25</v>
      </c>
      <c r="E44" s="13">
        <f>MEDIAN(E35:E42)</f>
        <v>34.75</v>
      </c>
      <c r="F44" s="13">
        <f>MEDIAN(F35:F42)</f>
        <v>28.55</v>
      </c>
      <c r="J44" t="s">
        <v>413</v>
      </c>
    </row>
    <row r="45" spans="1:10" x14ac:dyDescent="0.3">
      <c r="A45" s="2" t="s">
        <v>414</v>
      </c>
      <c r="C45" s="13">
        <f>MAX(C35:C42)</f>
        <v>40.799999999999997</v>
      </c>
      <c r="D45" s="13">
        <f>MAX(D35:D42)</f>
        <v>32.6</v>
      </c>
      <c r="E45" s="13">
        <f>MAX(E35:E42)</f>
        <v>50.1</v>
      </c>
      <c r="F45" s="13">
        <f>MAX(F35:F42)</f>
        <v>39</v>
      </c>
      <c r="J45" t="s">
        <v>415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6"/>
  <sheetViews>
    <sheetView workbookViewId="0"/>
  </sheetViews>
  <sheetFormatPr defaultRowHeight="14.4" x14ac:dyDescent="0.3"/>
  <cols>
    <col min="1" max="1" width="44" customWidth="1"/>
    <col min="2" max="2" width="9" customWidth="1"/>
    <col min="3" max="6" width="18" customWidth="1"/>
    <col min="7" max="7" width="40" customWidth="1"/>
    <col min="8" max="8" width="34" customWidth="1"/>
    <col min="9" max="9" width="14" customWidth="1"/>
    <col min="10" max="10" width="90" customWidth="1"/>
  </cols>
  <sheetData>
    <row r="1" spans="1:10" ht="18" x14ac:dyDescent="0.35">
      <c r="A1" s="1" t="s">
        <v>416</v>
      </c>
    </row>
    <row r="2" spans="1:10" x14ac:dyDescent="0.3">
      <c r="A2" t="s">
        <v>417</v>
      </c>
    </row>
    <row r="4" spans="1:10" x14ac:dyDescent="0.3">
      <c r="A4" s="5" t="s">
        <v>380</v>
      </c>
      <c r="B4" s="5"/>
      <c r="C4" s="5" t="s">
        <v>297</v>
      </c>
      <c r="D4" s="5" t="s">
        <v>298</v>
      </c>
      <c r="E4" s="5" t="s">
        <v>299</v>
      </c>
    </row>
    <row r="5" spans="1:10" x14ac:dyDescent="0.3">
      <c r="A5" t="s">
        <v>381</v>
      </c>
      <c r="B5" t="s">
        <v>263</v>
      </c>
      <c r="C5" s="7">
        <f>fy26_adjusted_ebitda_aud_m</f>
        <v>152.19999999999999</v>
      </c>
      <c r="D5" s="7">
        <f>fy26_adjusted_ebitda_aud_m</f>
        <v>152.19999999999999</v>
      </c>
      <c r="E5" s="7">
        <f>fy26_adjusted_ebitda_aud_m</f>
        <v>152.19999999999999</v>
      </c>
      <c r="J5" t="s">
        <v>382</v>
      </c>
    </row>
    <row r="6" spans="1:10" x14ac:dyDescent="0.3">
      <c r="A6" t="s">
        <v>383</v>
      </c>
      <c r="B6" t="s">
        <v>384</v>
      </c>
      <c r="C6" s="13">
        <f>precedent_ebitda_multiple_fy26_low_x</f>
        <v>15.2</v>
      </c>
      <c r="D6" s="13">
        <f>(C6+E6)/2</f>
        <v>18.75</v>
      </c>
      <c r="E6" s="13">
        <f>precedent_ebitda_multiple_fy26_high_x</f>
        <v>22.3</v>
      </c>
      <c r="J6" t="s">
        <v>418</v>
      </c>
    </row>
    <row r="7" spans="1:10" x14ac:dyDescent="0.3">
      <c r="A7" t="s">
        <v>386</v>
      </c>
      <c r="B7" t="s">
        <v>263</v>
      </c>
      <c r="C7" s="7">
        <f>C5*C6</f>
        <v>2313.4399999999996</v>
      </c>
      <c r="D7" s="7">
        <f>D5*D6</f>
        <v>2853.75</v>
      </c>
      <c r="E7" s="7">
        <f>E5*E6</f>
        <v>3394.06</v>
      </c>
      <c r="J7" t="s">
        <v>387</v>
      </c>
    </row>
    <row r="8" spans="1:10" x14ac:dyDescent="0.3">
      <c r="A8" t="s">
        <v>388</v>
      </c>
      <c r="B8" t="s">
        <v>270</v>
      </c>
      <c r="C8" s="6">
        <v>0</v>
      </c>
      <c r="D8" s="6">
        <v>0</v>
      </c>
      <c r="E8" s="6">
        <v>0</v>
      </c>
      <c r="J8" t="s">
        <v>419</v>
      </c>
    </row>
    <row r="9" spans="1:10" x14ac:dyDescent="0.3">
      <c r="A9" t="s">
        <v>314</v>
      </c>
      <c r="B9" t="s">
        <v>263</v>
      </c>
      <c r="C9" s="7">
        <f>C7*(1+C8/100)</f>
        <v>2313.4399999999996</v>
      </c>
      <c r="D9" s="7">
        <f>D7*(1+D8/100)</f>
        <v>2853.75</v>
      </c>
      <c r="E9" s="7">
        <f>E7*(1+E8/100)</f>
        <v>3394.06</v>
      </c>
      <c r="J9" t="s">
        <v>390</v>
      </c>
    </row>
    <row r="10" spans="1:10" x14ac:dyDescent="0.3">
      <c r="A10" t="s">
        <v>318</v>
      </c>
      <c r="B10" t="s">
        <v>263</v>
      </c>
      <c r="C10" s="7">
        <f>other_assets_and_liabilities_aud_m</f>
        <v>-7.6</v>
      </c>
      <c r="D10" s="7">
        <f>other_assets_and_liabilities_aud_m</f>
        <v>-7.6</v>
      </c>
      <c r="E10" s="7">
        <f>other_assets_and_liabilities_aud_m</f>
        <v>-7.6</v>
      </c>
      <c r="J10" t="s">
        <v>319</v>
      </c>
    </row>
    <row r="11" spans="1:10" x14ac:dyDescent="0.3">
      <c r="A11" t="s">
        <v>320</v>
      </c>
      <c r="B11" t="s">
        <v>263</v>
      </c>
      <c r="C11" s="7">
        <f>C9+C10</f>
        <v>2305.8399999999997</v>
      </c>
      <c r="D11" s="7">
        <f>D9+D10</f>
        <v>2846.15</v>
      </c>
      <c r="E11" s="7">
        <f>E9+E10</f>
        <v>3386.46</v>
      </c>
      <c r="J11" t="s">
        <v>321</v>
      </c>
    </row>
    <row r="12" spans="1:10" x14ac:dyDescent="0.3">
      <c r="A12" t="s">
        <v>322</v>
      </c>
      <c r="B12" t="s">
        <v>263</v>
      </c>
      <c r="C12" s="7">
        <f>adjusted_net_debt_aud_m</f>
        <v>186.99999999999997</v>
      </c>
      <c r="D12" s="7">
        <f>adjusted_net_debt_aud_m</f>
        <v>186.99999999999997</v>
      </c>
      <c r="E12" s="7">
        <f>adjusted_net_debt_aud_m</f>
        <v>186.99999999999997</v>
      </c>
      <c r="J12" t="s">
        <v>391</v>
      </c>
    </row>
    <row r="13" spans="1:10" x14ac:dyDescent="0.3">
      <c r="A13" t="s">
        <v>324</v>
      </c>
      <c r="B13" t="s">
        <v>263</v>
      </c>
      <c r="C13" s="7">
        <f>C11-C12</f>
        <v>2118.8399999999997</v>
      </c>
      <c r="D13" s="7">
        <f>D11-D12</f>
        <v>2659.15</v>
      </c>
      <c r="E13" s="7">
        <f>E11-E12</f>
        <v>3199.46</v>
      </c>
      <c r="J13" t="s">
        <v>325</v>
      </c>
    </row>
    <row r="14" spans="1:10" x14ac:dyDescent="0.3">
      <c r="A14" t="s">
        <v>326</v>
      </c>
      <c r="B14" t="s">
        <v>327</v>
      </c>
      <c r="C14" s="10">
        <f>dcf_diluted_shares_m_low</f>
        <v>635.50775199999998</v>
      </c>
      <c r="D14" s="10">
        <f>dcf_diluted_shares_m_mid</f>
        <v>634.97882299999992</v>
      </c>
      <c r="E14" s="10">
        <f>dcf_diluted_shares_m_high</f>
        <v>634.44989399999997</v>
      </c>
      <c r="J14" t="s">
        <v>392</v>
      </c>
    </row>
    <row r="15" spans="1:10" x14ac:dyDescent="0.3">
      <c r="A15" s="2" t="s">
        <v>329</v>
      </c>
      <c r="B15" s="2" t="s">
        <v>330</v>
      </c>
      <c r="C15" s="11">
        <f>C13/C14</f>
        <v>3.3340899356960163</v>
      </c>
      <c r="D15" s="11">
        <f>D13/D14</f>
        <v>4.1877774560050174</v>
      </c>
      <c r="E15" s="11">
        <f>E13/E14</f>
        <v>5.0428883829240583</v>
      </c>
      <c r="J15" t="s">
        <v>331</v>
      </c>
    </row>
    <row r="18" spans="1:10" x14ac:dyDescent="0.3">
      <c r="A18" s="5" t="s">
        <v>393</v>
      </c>
      <c r="B18" s="5"/>
      <c r="C18" s="5" t="s">
        <v>297</v>
      </c>
      <c r="D18" s="5" t="s">
        <v>298</v>
      </c>
      <c r="E18" s="5" t="s">
        <v>299</v>
      </c>
    </row>
    <row r="19" spans="1:10" x14ac:dyDescent="0.3">
      <c r="A19" t="s">
        <v>394</v>
      </c>
      <c r="B19" t="s">
        <v>263</v>
      </c>
      <c r="C19" s="7">
        <f>fy26_adjusted_ebita_aud_m</f>
        <v>119.2</v>
      </c>
      <c r="D19" s="7">
        <f>fy26_adjusted_ebita_aud_m</f>
        <v>119.2</v>
      </c>
      <c r="E19" s="7">
        <f>fy26_adjusted_ebita_aud_m</f>
        <v>119.2</v>
      </c>
      <c r="J19" t="s">
        <v>382</v>
      </c>
    </row>
    <row r="20" spans="1:10" x14ac:dyDescent="0.3">
      <c r="A20" t="s">
        <v>383</v>
      </c>
      <c r="B20" t="s">
        <v>384</v>
      </c>
      <c r="C20" s="13">
        <f>precedent_ebita_multiple_fy26_low_x</f>
        <v>17.899999999999999</v>
      </c>
      <c r="D20" s="13">
        <f>(C20+E20)/2</f>
        <v>21.85</v>
      </c>
      <c r="E20" s="13">
        <f>precedent_ebita_multiple_fy26_high_x</f>
        <v>25.8</v>
      </c>
      <c r="J20" t="s">
        <v>418</v>
      </c>
    </row>
    <row r="21" spans="1:10" x14ac:dyDescent="0.3">
      <c r="A21" t="s">
        <v>386</v>
      </c>
      <c r="B21" t="s">
        <v>263</v>
      </c>
      <c r="C21" s="7">
        <f>C19*C20</f>
        <v>2133.6799999999998</v>
      </c>
      <c r="D21" s="7">
        <f>D19*D20</f>
        <v>2604.5200000000004</v>
      </c>
      <c r="E21" s="7">
        <f>E19*E20</f>
        <v>3075.36</v>
      </c>
      <c r="J21" t="s">
        <v>387</v>
      </c>
    </row>
    <row r="22" spans="1:10" x14ac:dyDescent="0.3">
      <c r="A22" t="s">
        <v>388</v>
      </c>
      <c r="B22" t="s">
        <v>270</v>
      </c>
      <c r="C22" s="6">
        <v>0</v>
      </c>
      <c r="D22" s="6">
        <v>0</v>
      </c>
      <c r="E22" s="6">
        <v>0</v>
      </c>
      <c r="J22" t="s">
        <v>419</v>
      </c>
    </row>
    <row r="23" spans="1:10" x14ac:dyDescent="0.3">
      <c r="A23" t="s">
        <v>314</v>
      </c>
      <c r="B23" t="s">
        <v>263</v>
      </c>
      <c r="C23" s="7">
        <f>C21*(1+C22/100)</f>
        <v>2133.6799999999998</v>
      </c>
      <c r="D23" s="7">
        <f>D21*(1+D22/100)</f>
        <v>2604.5200000000004</v>
      </c>
      <c r="E23" s="7">
        <f>E21*(1+E22/100)</f>
        <v>3075.36</v>
      </c>
      <c r="J23" t="s">
        <v>390</v>
      </c>
    </row>
    <row r="24" spans="1:10" x14ac:dyDescent="0.3">
      <c r="A24" t="s">
        <v>318</v>
      </c>
      <c r="B24" t="s">
        <v>263</v>
      </c>
      <c r="C24" s="7">
        <f>other_assets_and_liabilities_aud_m</f>
        <v>-7.6</v>
      </c>
      <c r="D24" s="7">
        <f>other_assets_and_liabilities_aud_m</f>
        <v>-7.6</v>
      </c>
      <c r="E24" s="7">
        <f>other_assets_and_liabilities_aud_m</f>
        <v>-7.6</v>
      </c>
      <c r="J24" t="s">
        <v>319</v>
      </c>
    </row>
    <row r="25" spans="1:10" x14ac:dyDescent="0.3">
      <c r="A25" t="s">
        <v>320</v>
      </c>
      <c r="B25" t="s">
        <v>263</v>
      </c>
      <c r="C25" s="7">
        <f>C23+C24</f>
        <v>2126.08</v>
      </c>
      <c r="D25" s="7">
        <f>D23+D24</f>
        <v>2596.9200000000005</v>
      </c>
      <c r="E25" s="7">
        <f>E23+E24</f>
        <v>3067.76</v>
      </c>
      <c r="J25" t="s">
        <v>321</v>
      </c>
    </row>
    <row r="26" spans="1:10" x14ac:dyDescent="0.3">
      <c r="A26" t="s">
        <v>322</v>
      </c>
      <c r="B26" t="s">
        <v>263</v>
      </c>
      <c r="C26" s="7">
        <f>adjusted_net_debt_aud_m</f>
        <v>186.99999999999997</v>
      </c>
      <c r="D26" s="7">
        <f>adjusted_net_debt_aud_m</f>
        <v>186.99999999999997</v>
      </c>
      <c r="E26" s="7">
        <f>adjusted_net_debt_aud_m</f>
        <v>186.99999999999997</v>
      </c>
      <c r="J26" t="s">
        <v>391</v>
      </c>
    </row>
    <row r="27" spans="1:10" x14ac:dyDescent="0.3">
      <c r="A27" t="s">
        <v>324</v>
      </c>
      <c r="B27" t="s">
        <v>263</v>
      </c>
      <c r="C27" s="7">
        <f>C25-C26</f>
        <v>1939.08</v>
      </c>
      <c r="D27" s="7">
        <f>D25-D26</f>
        <v>2409.9200000000005</v>
      </c>
      <c r="E27" s="7">
        <f>E25-E26</f>
        <v>2880.76</v>
      </c>
      <c r="J27" t="s">
        <v>325</v>
      </c>
    </row>
    <row r="28" spans="1:10" x14ac:dyDescent="0.3">
      <c r="A28" t="s">
        <v>326</v>
      </c>
      <c r="B28" t="s">
        <v>327</v>
      </c>
      <c r="C28" s="10">
        <f>dcf_diluted_shares_m_low</f>
        <v>635.50775199999998</v>
      </c>
      <c r="D28" s="10">
        <f>dcf_diluted_shares_m_mid</f>
        <v>634.97882299999992</v>
      </c>
      <c r="E28" s="10">
        <f>dcf_diluted_shares_m_high</f>
        <v>634.44989399999997</v>
      </c>
      <c r="J28" t="s">
        <v>392</v>
      </c>
    </row>
    <row r="29" spans="1:10" x14ac:dyDescent="0.3">
      <c r="A29" s="2" t="s">
        <v>329</v>
      </c>
      <c r="B29" s="2" t="s">
        <v>330</v>
      </c>
      <c r="C29" s="11">
        <f>C27/C28</f>
        <v>3.051229499400347</v>
      </c>
      <c r="D29" s="11">
        <f>D27/D28</f>
        <v>3.7952761772655226</v>
      </c>
      <c r="E29" s="11">
        <f>E27/E28</f>
        <v>4.5405634507049033</v>
      </c>
      <c r="J29" t="s">
        <v>331</v>
      </c>
    </row>
    <row r="33" spans="1:10" x14ac:dyDescent="0.3">
      <c r="A33" s="5" t="s">
        <v>420</v>
      </c>
      <c r="B33" s="5"/>
      <c r="C33" s="5"/>
      <c r="D33" s="5"/>
      <c r="E33" s="5"/>
      <c r="F33" s="5"/>
      <c r="G33" s="5"/>
      <c r="H33" s="5"/>
      <c r="I33" s="5"/>
    </row>
    <row r="34" spans="1:10" x14ac:dyDescent="0.3">
      <c r="A34" s="2" t="s">
        <v>421</v>
      </c>
      <c r="C34" s="2" t="s">
        <v>397</v>
      </c>
      <c r="D34" s="2" t="s">
        <v>398</v>
      </c>
      <c r="E34" s="2" t="s">
        <v>399</v>
      </c>
      <c r="F34" s="2" t="s">
        <v>400</v>
      </c>
      <c r="G34" s="2" t="s">
        <v>8</v>
      </c>
      <c r="H34" s="2" t="s">
        <v>9</v>
      </c>
      <c r="I34" s="2" t="s">
        <v>10</v>
      </c>
    </row>
    <row r="35" spans="1:10" x14ac:dyDescent="0.3">
      <c r="A35" t="s">
        <v>422</v>
      </c>
      <c r="C35" s="13">
        <v>16.5</v>
      </c>
      <c r="D35" s="13">
        <v>15.2</v>
      </c>
      <c r="E35" s="13">
        <v>19.5</v>
      </c>
      <c r="F35" s="13">
        <v>17.899999999999999</v>
      </c>
      <c r="G35" t="s">
        <v>16</v>
      </c>
      <c r="H35" t="s">
        <v>423</v>
      </c>
      <c r="I35" t="s">
        <v>18</v>
      </c>
    </row>
    <row r="36" spans="1:10" x14ac:dyDescent="0.3">
      <c r="A36" t="s">
        <v>424</v>
      </c>
      <c r="C36" s="13">
        <v>31.1</v>
      </c>
      <c r="G36" t="s">
        <v>16</v>
      </c>
      <c r="H36" t="s">
        <v>425</v>
      </c>
      <c r="I36" t="s">
        <v>18</v>
      </c>
    </row>
    <row r="37" spans="1:10" x14ac:dyDescent="0.3">
      <c r="A37" t="s">
        <v>426</v>
      </c>
      <c r="C37" s="13">
        <v>29.5</v>
      </c>
      <c r="G37" t="s">
        <v>16</v>
      </c>
      <c r="H37" t="s">
        <v>425</v>
      </c>
      <c r="I37" t="s">
        <v>18</v>
      </c>
    </row>
    <row r="38" spans="1:10" x14ac:dyDescent="0.3">
      <c r="A38" t="s">
        <v>427</v>
      </c>
      <c r="C38" s="13">
        <v>29.5</v>
      </c>
      <c r="D38" s="13">
        <v>25.1</v>
      </c>
      <c r="E38" s="13">
        <v>30.8</v>
      </c>
      <c r="F38" s="13">
        <v>26</v>
      </c>
      <c r="G38" t="s">
        <v>16</v>
      </c>
      <c r="H38" t="s">
        <v>423</v>
      </c>
      <c r="I38" t="s">
        <v>18</v>
      </c>
    </row>
    <row r="39" spans="1:10" x14ac:dyDescent="0.3">
      <c r="A39" t="s">
        <v>428</v>
      </c>
      <c r="C39" s="13">
        <v>23.5</v>
      </c>
      <c r="D39" s="13">
        <v>22.3</v>
      </c>
      <c r="E39" s="13">
        <v>23.9</v>
      </c>
      <c r="F39" s="13">
        <v>22.7</v>
      </c>
      <c r="G39" t="s">
        <v>16</v>
      </c>
      <c r="H39" t="s">
        <v>423</v>
      </c>
      <c r="I39" t="s">
        <v>18</v>
      </c>
    </row>
    <row r="40" spans="1:10" x14ac:dyDescent="0.3">
      <c r="A40" t="s">
        <v>429</v>
      </c>
      <c r="C40" s="13">
        <v>24.8</v>
      </c>
      <c r="E40" s="13">
        <v>26.8</v>
      </c>
      <c r="G40" t="s">
        <v>16</v>
      </c>
      <c r="H40" t="s">
        <v>423</v>
      </c>
      <c r="I40" t="s">
        <v>18</v>
      </c>
    </row>
    <row r="41" spans="1:10" x14ac:dyDescent="0.3">
      <c r="A41" t="s">
        <v>430</v>
      </c>
      <c r="C41" s="13">
        <v>21</v>
      </c>
      <c r="D41" s="13">
        <v>17.7</v>
      </c>
      <c r="E41" s="13">
        <v>38.9</v>
      </c>
      <c r="F41" s="13">
        <v>25.8</v>
      </c>
      <c r="G41" t="s">
        <v>16</v>
      </c>
      <c r="H41" t="s">
        <v>423</v>
      </c>
      <c r="I41" t="s">
        <v>18</v>
      </c>
    </row>
    <row r="42" spans="1:10" x14ac:dyDescent="0.3">
      <c r="A42" t="s">
        <v>431</v>
      </c>
      <c r="C42" s="13">
        <v>20.7</v>
      </c>
      <c r="D42" s="13">
        <v>19.7</v>
      </c>
      <c r="E42" s="13">
        <v>23.4</v>
      </c>
      <c r="F42" s="13">
        <v>20.9</v>
      </c>
      <c r="G42" t="s">
        <v>16</v>
      </c>
      <c r="H42" t="s">
        <v>423</v>
      </c>
      <c r="I42" t="s">
        <v>18</v>
      </c>
    </row>
    <row r="43" spans="1:10" x14ac:dyDescent="0.3">
      <c r="A43" t="s">
        <v>432</v>
      </c>
      <c r="C43" s="13">
        <v>14</v>
      </c>
      <c r="D43" s="13">
        <v>12.9</v>
      </c>
      <c r="E43" s="13">
        <v>14.8</v>
      </c>
      <c r="F43" s="13">
        <v>13.7</v>
      </c>
      <c r="G43" t="s">
        <v>16</v>
      </c>
      <c r="H43" t="s">
        <v>423</v>
      </c>
      <c r="I43" t="s">
        <v>18</v>
      </c>
    </row>
    <row r="44" spans="1:10" x14ac:dyDescent="0.3">
      <c r="A44" s="2" t="s">
        <v>410</v>
      </c>
      <c r="C44" s="13">
        <f>MIN(C35:C43)</f>
        <v>14</v>
      </c>
      <c r="D44" s="13">
        <f>MIN(D35:D43)</f>
        <v>12.9</v>
      </c>
      <c r="E44" s="13">
        <f>MIN(E35:E43)</f>
        <v>14.8</v>
      </c>
      <c r="F44" s="13">
        <f>MIN(F35:F43)</f>
        <v>13.7</v>
      </c>
      <c r="J44" t="s">
        <v>411</v>
      </c>
    </row>
    <row r="45" spans="1:10" x14ac:dyDescent="0.3">
      <c r="A45" s="2" t="s">
        <v>412</v>
      </c>
      <c r="C45" s="13">
        <f>MEDIAN(C35:C43)</f>
        <v>23.5</v>
      </c>
      <c r="D45" s="13">
        <f>MEDIAN(D35:D43)</f>
        <v>18.7</v>
      </c>
      <c r="E45" s="13">
        <f>MEDIAN(E35:E43)</f>
        <v>23.9</v>
      </c>
      <c r="F45" s="13">
        <f>MEDIAN(F35:F43)</f>
        <v>21.799999999999997</v>
      </c>
      <c r="J45" t="s">
        <v>413</v>
      </c>
    </row>
    <row r="46" spans="1:10" x14ac:dyDescent="0.3">
      <c r="A46" s="2" t="s">
        <v>414</v>
      </c>
      <c r="C46" s="13">
        <f>MAX(C35:C43)</f>
        <v>31.1</v>
      </c>
      <c r="D46" s="13">
        <f>MAX(D35:D43)</f>
        <v>25.1</v>
      </c>
      <c r="E46" s="13">
        <f>MAX(E35:E43)</f>
        <v>38.9</v>
      </c>
      <c r="F46" s="13">
        <f>MAX(F35:F43)</f>
        <v>26</v>
      </c>
      <c r="J46" t="s">
        <v>415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workbookViewId="0"/>
  </sheetViews>
  <sheetFormatPr defaultRowHeight="14.4" x14ac:dyDescent="0.3"/>
  <cols>
    <col min="1" max="1" width="46" customWidth="1"/>
    <col min="2" max="2" width="9" customWidth="1"/>
    <col min="3" max="6" width="18" customWidth="1"/>
    <col min="7" max="7" width="90" customWidth="1"/>
  </cols>
  <sheetData>
    <row r="1" spans="1:7" ht="18" x14ac:dyDescent="0.35">
      <c r="A1" s="1" t="s">
        <v>433</v>
      </c>
    </row>
    <row r="2" spans="1:7" x14ac:dyDescent="0.3">
      <c r="A2" t="s">
        <v>434</v>
      </c>
    </row>
    <row r="4" spans="1:7" x14ac:dyDescent="0.3">
      <c r="A4" s="5" t="s">
        <v>435</v>
      </c>
      <c r="B4" s="5"/>
      <c r="C4" s="5" t="s">
        <v>436</v>
      </c>
      <c r="D4" s="5" t="s">
        <v>437</v>
      </c>
      <c r="E4" s="5" t="s">
        <v>438</v>
      </c>
      <c r="F4" s="5"/>
    </row>
    <row r="5" spans="1:7" x14ac:dyDescent="0.3">
      <c r="A5" t="s">
        <v>249</v>
      </c>
      <c r="B5" t="s">
        <v>330</v>
      </c>
      <c r="C5" s="6">
        <f>dcf_value_per_share_aud_low</f>
        <v>3.471984053187664</v>
      </c>
      <c r="D5" s="6">
        <f>dcf_value_per_share_aud_high</f>
        <v>4.2603255790615631</v>
      </c>
      <c r="E5" s="6">
        <f>preferred_dcf_value_per_share_aud</f>
        <v>3.8324580561698403</v>
      </c>
      <c r="G5" t="s">
        <v>439</v>
      </c>
    </row>
    <row r="6" spans="1:7" x14ac:dyDescent="0.3">
      <c r="A6" t="s">
        <v>440</v>
      </c>
      <c r="B6" t="s">
        <v>330</v>
      </c>
      <c r="C6" s="6">
        <f>trading_ebitda_value_per_share_aud_low</f>
        <v>4.5734689952295033</v>
      </c>
      <c r="D6" s="6">
        <f>trading_ebitda_value_per_share_aud_high</f>
        <v>5.420719638421124</v>
      </c>
      <c r="E6" s="6">
        <f>preferred_trading_value_per_share_aud</f>
        <v>4.996741442509494</v>
      </c>
      <c r="G6" t="s">
        <v>439</v>
      </c>
    </row>
    <row r="7" spans="1:7" x14ac:dyDescent="0.3">
      <c r="A7" t="s">
        <v>441</v>
      </c>
      <c r="B7" t="s">
        <v>330</v>
      </c>
      <c r="C7" s="6">
        <f>precedent_ebitda_value_per_share_aud_low</f>
        <v>3.3340899356960163</v>
      </c>
      <c r="D7" s="6">
        <f>precedent_ebitda_value_per_share_aud_high</f>
        <v>5.0428883829240583</v>
      </c>
      <c r="E7" s="6">
        <f>preferred_precedent_value_per_share_aud</f>
        <v>4.1877774560050174</v>
      </c>
      <c r="G7" t="s">
        <v>439</v>
      </c>
    </row>
    <row r="8" spans="1:7" x14ac:dyDescent="0.3">
      <c r="A8" t="s">
        <v>442</v>
      </c>
      <c r="B8" t="s">
        <v>330</v>
      </c>
      <c r="C8" s="6">
        <f>combined_value_per_share_aud_low</f>
        <v>3.7128817593252119</v>
      </c>
      <c r="D8" s="6">
        <f>combined_value_per_share_aud_high</f>
        <v>4.7460647948670776</v>
      </c>
      <c r="E8" s="6">
        <f>preferred_value_per_share_aud</f>
        <v>4.2123587527135475</v>
      </c>
      <c r="G8" t="s">
        <v>439</v>
      </c>
    </row>
    <row r="9" spans="1:7" x14ac:dyDescent="0.3">
      <c r="A9" t="s">
        <v>443</v>
      </c>
      <c r="B9" t="s">
        <v>330</v>
      </c>
      <c r="C9" s="6">
        <f>expert_value_per_share_aud_low</f>
        <v>4.0599999999999996</v>
      </c>
      <c r="D9" s="6">
        <f>expert_value_per_share_aud_high</f>
        <v>4.46</v>
      </c>
      <c r="G9" t="s">
        <v>444</v>
      </c>
    </row>
    <row r="11" spans="1:7" x14ac:dyDescent="0.3">
      <c r="A11" s="5" t="s">
        <v>445</v>
      </c>
      <c r="B11" s="5"/>
      <c r="C11" s="5" t="s">
        <v>446</v>
      </c>
      <c r="D11" s="5" t="s">
        <v>436</v>
      </c>
      <c r="E11" s="5" t="s">
        <v>437</v>
      </c>
      <c r="F11" s="5" t="s">
        <v>438</v>
      </c>
    </row>
    <row r="12" spans="1:7" x14ac:dyDescent="0.3">
      <c r="A12" t="s">
        <v>249</v>
      </c>
      <c r="B12" t="s">
        <v>330</v>
      </c>
      <c r="C12" s="6">
        <f>method_weight_dcf_pct</f>
        <v>50</v>
      </c>
      <c r="D12" s="6">
        <f>dcf_value_per_share_aud_low</f>
        <v>3.471984053187664</v>
      </c>
      <c r="E12" s="6">
        <f>dcf_value_per_share_aud_high</f>
        <v>4.2603255790615631</v>
      </c>
      <c r="F12" s="6">
        <f>dcf_value_per_share_aud_mid</f>
        <v>3.8324580561698403</v>
      </c>
      <c r="G12" t="s">
        <v>447</v>
      </c>
    </row>
    <row r="13" spans="1:7" x14ac:dyDescent="0.3">
      <c r="A13" t="s">
        <v>448</v>
      </c>
      <c r="B13" t="s">
        <v>330</v>
      </c>
      <c r="C13" s="6">
        <f>method_weight_trading_pct</f>
        <v>25</v>
      </c>
      <c r="D13" s="6">
        <f>trading_ebitda_value_per_share_aud_low</f>
        <v>4.5734689952295033</v>
      </c>
      <c r="E13" s="6">
        <f>trading_ebitda_value_per_share_aud_high</f>
        <v>5.420719638421124</v>
      </c>
      <c r="F13" s="6">
        <f>trading_ebitda_value_per_share_aud_mid</f>
        <v>4.996741442509494</v>
      </c>
      <c r="G13" t="s">
        <v>447</v>
      </c>
    </row>
    <row r="14" spans="1:7" x14ac:dyDescent="0.3">
      <c r="A14" t="s">
        <v>441</v>
      </c>
      <c r="B14" t="s">
        <v>330</v>
      </c>
      <c r="C14" s="6">
        <f>method_weight_precedent_pct</f>
        <v>25</v>
      </c>
      <c r="D14" s="6">
        <f>precedent_ebitda_value_per_share_aud_low</f>
        <v>3.3340899356960163</v>
      </c>
      <c r="E14" s="6">
        <f>precedent_ebitda_value_per_share_aud_high</f>
        <v>5.0428883829240583</v>
      </c>
      <c r="F14" s="6">
        <f>precedent_ebitda_value_per_share_aud_mid</f>
        <v>4.1877774560050174</v>
      </c>
      <c r="G14" t="s">
        <v>447</v>
      </c>
    </row>
    <row r="15" spans="1:7" x14ac:dyDescent="0.3">
      <c r="A15" s="2" t="s">
        <v>449</v>
      </c>
      <c r="B15" s="2" t="s">
        <v>330</v>
      </c>
      <c r="C15" s="11">
        <f>SUM(C12:C14)</f>
        <v>100</v>
      </c>
      <c r="D15" s="11">
        <f>($C12*D12+$C13*D13+$C14*D14)/100</f>
        <v>3.7128817593252119</v>
      </c>
      <c r="E15" s="11">
        <f>($C12*E12+$C13*E13+$C14*E14)/100</f>
        <v>4.7460647948670776</v>
      </c>
      <c r="F15" s="11">
        <f>($C12*F12+$C13*F13+$C14*F14)/100</f>
        <v>4.2123587527135475</v>
      </c>
      <c r="G15" t="s">
        <v>450</v>
      </c>
    </row>
    <row r="17" spans="1:7" x14ac:dyDescent="0.3">
      <c r="A17" s="5" t="s">
        <v>451</v>
      </c>
      <c r="B17" s="5"/>
      <c r="C17" s="5"/>
      <c r="D17" s="5"/>
      <c r="E17" s="5"/>
      <c r="F17" s="5"/>
    </row>
    <row r="18" spans="1:7" x14ac:dyDescent="0.3">
      <c r="A18" t="s">
        <v>452</v>
      </c>
      <c r="B18" t="s">
        <v>330</v>
      </c>
      <c r="C18" s="6">
        <f>offer_price_aud</f>
        <v>4.43</v>
      </c>
      <c r="G18" t="s">
        <v>453</v>
      </c>
    </row>
    <row r="19" spans="1:7" x14ac:dyDescent="0.3">
      <c r="A19" t="s">
        <v>454</v>
      </c>
      <c r="B19" t="s">
        <v>330</v>
      </c>
      <c r="C19" s="6">
        <f>undisturbed_share_price_aud</f>
        <v>3.12</v>
      </c>
      <c r="G19" t="s">
        <v>157</v>
      </c>
    </row>
    <row r="20" spans="1:7" x14ac:dyDescent="0.3">
      <c r="A20" t="s">
        <v>455</v>
      </c>
      <c r="B20" t="s">
        <v>270</v>
      </c>
      <c r="C20" s="6">
        <f>(offer_price_aud/undisturbed_share_price_aud-1)*100</f>
        <v>41.987179487179475</v>
      </c>
      <c r="G20" t="s">
        <v>456</v>
      </c>
    </row>
    <row r="21" spans="1:7" x14ac:dyDescent="0.3">
      <c r="A21" t="s">
        <v>457</v>
      </c>
      <c r="B21" t="s">
        <v>330</v>
      </c>
      <c r="C21" s="6">
        <f>(expert_value_per_share_aud_low+expert_value_per_share_aud_high)/2</f>
        <v>4.26</v>
      </c>
      <c r="G21" t="s">
        <v>458</v>
      </c>
    </row>
    <row r="23" spans="1:7" x14ac:dyDescent="0.3">
      <c r="A23" s="5" t="s">
        <v>459</v>
      </c>
      <c r="B23" s="5"/>
      <c r="C23" s="5" t="s">
        <v>436</v>
      </c>
      <c r="D23" s="5" t="s">
        <v>437</v>
      </c>
      <c r="E23" s="5"/>
      <c r="F23" s="5"/>
    </row>
    <row r="24" spans="1:7" x14ac:dyDescent="0.3">
      <c r="A24" t="s">
        <v>460</v>
      </c>
      <c r="B24" t="s">
        <v>270</v>
      </c>
      <c r="C24" s="6">
        <f>discount_rate_low_pct</f>
        <v>9.5</v>
      </c>
      <c r="D24" s="6">
        <f>discount_rate_high_pct</f>
        <v>10.5</v>
      </c>
      <c r="G24" t="s">
        <v>461</v>
      </c>
    </row>
    <row r="25" spans="1:7" x14ac:dyDescent="0.3">
      <c r="A25" t="s">
        <v>462</v>
      </c>
      <c r="B25" t="s">
        <v>270</v>
      </c>
      <c r="C25" s="6">
        <f>wacc_pct_low</f>
        <v>9.2837949999999996</v>
      </c>
      <c r="D25" s="6">
        <f>wacc_pct_high</f>
        <v>10.497265000000001</v>
      </c>
      <c r="G25" t="s">
        <v>463</v>
      </c>
    </row>
    <row r="26" spans="1:7" x14ac:dyDescent="0.3">
      <c r="A26" t="s">
        <v>464</v>
      </c>
      <c r="B26" t="s">
        <v>270</v>
      </c>
      <c r="C26" s="6">
        <f>wacc_at_expert_risk_free_pct_low</f>
        <v>9.3325000000000014</v>
      </c>
      <c r="D26" s="6">
        <f>wacc_at_expert_risk_free_pct_high</f>
        <v>10.547500000000001</v>
      </c>
      <c r="G26" t="s">
        <v>465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213</vt:i4>
      </vt:variant>
    </vt:vector>
  </HeadingPairs>
  <TitlesOfParts>
    <vt:vector size="218" baseType="lpstr">
      <vt:lpstr>Assumptions</vt:lpstr>
      <vt:lpstr>DCF</vt:lpstr>
      <vt:lpstr>Comparables</vt:lpstr>
      <vt:lpstr>Precedents</vt:lpstr>
      <vt:lpstr>Summary</vt:lpstr>
      <vt:lpstr>adjusted_net_debt_aud_m</vt:lpstr>
      <vt:lpstr>agent_dividend_pct_of_prior_year_revenue_pct</vt:lpstr>
      <vt:lpstr>capex_pct_of_revenue_fy26_to_fy30_pct</vt:lpstr>
      <vt:lpstr>capex_pct_of_revenue_long_term_pct</vt:lpstr>
      <vt:lpstr>combined_value_per_share_aud_high</vt:lpstr>
      <vt:lpstr>combined_value_per_share_aud_low</vt:lpstr>
      <vt:lpstr>control_premium_applied_pct</vt:lpstr>
      <vt:lpstr>control_premium_typical_high_pct</vt:lpstr>
      <vt:lpstr>control_premium_typical_low_pct</vt:lpstr>
      <vt:lpstr>corporate_cost_saving_aud_m</vt:lpstr>
      <vt:lpstr>cost_of_debt_margin_over_risk_free_pct</vt:lpstr>
      <vt:lpstr>dcf_business_operations_value_aud_m_high</vt:lpstr>
      <vt:lpstr>dcf_business_operations_value_aud_m_low</vt:lpstr>
      <vt:lpstr>dcf_business_operations_value_aud_m_mid</vt:lpstr>
      <vt:lpstr>dcf_diluted_shares_m_high</vt:lpstr>
      <vt:lpstr>dcf_diluted_shares_m_low</vt:lpstr>
      <vt:lpstr>dcf_diluted_shares_m_mid</vt:lpstr>
      <vt:lpstr>dcf_discount_rate_pct_high</vt:lpstr>
      <vt:lpstr>dcf_discount_rate_pct_low</vt:lpstr>
      <vt:lpstr>dcf_discount_rate_pct_mid</vt:lpstr>
      <vt:lpstr>dcf_enterprise_value_aud_m_high</vt:lpstr>
      <vt:lpstr>dcf_enterprise_value_aud_m_low</vt:lpstr>
      <vt:lpstr>dcf_enterprise_value_aud_m_mid</vt:lpstr>
      <vt:lpstr>dcf_equity_value_aud_m_high</vt:lpstr>
      <vt:lpstr>dcf_equity_value_aud_m_low</vt:lpstr>
      <vt:lpstr>dcf_equity_value_aud_m_mid</vt:lpstr>
      <vt:lpstr>dcf_present_value_of_cash_flows_aud_m_high</vt:lpstr>
      <vt:lpstr>dcf_present_value_of_cash_flows_aud_m_low</vt:lpstr>
      <vt:lpstr>dcf_present_value_of_cash_flows_aud_m_mid</vt:lpstr>
      <vt:lpstr>dcf_present_value_of_terminal_value_aud_m_high</vt:lpstr>
      <vt:lpstr>dcf_present_value_of_terminal_value_aud_m_low</vt:lpstr>
      <vt:lpstr>dcf_present_value_of_terminal_value_aud_m_mid</vt:lpstr>
      <vt:lpstr>dcf_terminal_growth_pct</vt:lpstr>
      <vt:lpstr>dcf_terminal_value_aud_m_high</vt:lpstr>
      <vt:lpstr>dcf_terminal_value_aud_m_low</vt:lpstr>
      <vt:lpstr>dcf_terminal_value_aud_m_mid</vt:lpstr>
      <vt:lpstr>dcf_terminal_value_share_of_operations_pct_high</vt:lpstr>
      <vt:lpstr>dcf_terminal_value_share_of_operations_pct_low</vt:lpstr>
      <vt:lpstr>dcf_terminal_value_share_of_operations_pct_mid</vt:lpstr>
      <vt:lpstr>dcf_value_per_share_aud_high</vt:lpstr>
      <vt:lpstr>dcf_value_per_share_aud_low</vt:lpstr>
      <vt:lpstr>dcf_value_per_share_aud_mid</vt:lpstr>
      <vt:lpstr>depreciation_pct_of_revenue_long_term_pct</vt:lpstr>
      <vt:lpstr>discount_rate_high_pct</vt:lpstr>
      <vt:lpstr>discount_rate_low_pct</vt:lpstr>
      <vt:lpstr>early_years_count</vt:lpstr>
      <vt:lpstr>ebitda_margin_fy30_pct</vt:lpstr>
      <vt:lpstr>ebitda_margin_fy35_pct</vt:lpstr>
      <vt:lpstr>equity_beta_high</vt:lpstr>
      <vt:lpstr>equity_beta_low</vt:lpstr>
      <vt:lpstr>equity_weight_high_pct</vt:lpstr>
      <vt:lpstr>equity_weight_low_pct</vt:lpstr>
      <vt:lpstr>expert_business_operations_value_aud_m_high</vt:lpstr>
      <vt:lpstr>expert_business_operations_value_aud_m_low</vt:lpstr>
      <vt:lpstr>expert_capex_pct_of_revenue_fy26_to_fy30_pct</vt:lpstr>
      <vt:lpstr>expert_capex_pct_of_revenue_long_term_pct</vt:lpstr>
      <vt:lpstr>expert_control_premium_applied_pct</vt:lpstr>
      <vt:lpstr>expert_depreciation_pct_of_revenue_long_term_pct</vt:lpstr>
      <vt:lpstr>expert_discount_rate_high_pct</vt:lpstr>
      <vt:lpstr>expert_discount_rate_low_pct</vt:lpstr>
      <vt:lpstr>expert_ebitda_margin_fy30_pct</vt:lpstr>
      <vt:lpstr>expert_ebitda_margin_fy35_pct</vt:lpstr>
      <vt:lpstr>expert_method_weight_dcf_pct</vt:lpstr>
      <vt:lpstr>expert_method_weight_precedent_pct</vt:lpstr>
      <vt:lpstr>expert_method_weight_trading_pct</vt:lpstr>
      <vt:lpstr>expert_precedent_ebitda_multiple_fy26_high_x</vt:lpstr>
      <vt:lpstr>expert_precedent_ebitda_multiple_fy26_low_x</vt:lpstr>
      <vt:lpstr>expert_revenue_growth_fy26_to_fy35_pct</vt:lpstr>
      <vt:lpstr>expert_risk_free_rate_pct</vt:lpstr>
      <vt:lpstr>expert_terminal_growth_pct</vt:lpstr>
      <vt:lpstr>expert_trading_ebitda_multiple_fy26_high_x</vt:lpstr>
      <vt:lpstr>expert_trading_ebitda_multiple_fy26_low_x</vt:lpstr>
      <vt:lpstr>expert_value_per_share_aud_high</vt:lpstr>
      <vt:lpstr>expert_value_per_share_aud_low</vt:lpstr>
      <vt:lpstr>expert_value_per_share_aud_mid</vt:lpstr>
      <vt:lpstr>expert_working_capital_pct_of_revenue_pct</vt:lpstr>
      <vt:lpstr>first_half_fy25_depreciation_and_other_amortisation_aud_m</vt:lpstr>
      <vt:lpstr>first_half_fy25_ebitda_aud_m</vt:lpstr>
      <vt:lpstr>first_half_fy25_revenue_aud_m</vt:lpstr>
      <vt:lpstr>fy24_revenue_aud_m</vt:lpstr>
      <vt:lpstr>fy25_depreciation_and_other_amortisation_aud_m</vt:lpstr>
      <vt:lpstr>fy25_ebitda_aud_m</vt:lpstr>
      <vt:lpstr>fy25_revenue_aud_m</vt:lpstr>
      <vt:lpstr>fy26_adjusted_ebita_aud_m</vt:lpstr>
      <vt:lpstr>fy26_adjusted_ebitda_aud_m</vt:lpstr>
      <vt:lpstr>listed_share_discount_to_underlying_high_pct</vt:lpstr>
      <vt:lpstr>listed_share_discount_to_underlying_low_pct</vt:lpstr>
      <vt:lpstr>market_risk_premium_pct</vt:lpstr>
      <vt:lpstr>method_weight_dcf_pct</vt:lpstr>
      <vt:lpstr>method_weight_precedent_pct</vt:lpstr>
      <vt:lpstr>method_weight_trading_pct</vt:lpstr>
      <vt:lpstr>mid_year_discounting_flag</vt:lpstr>
      <vt:lpstr>net_debt_adjustment_capitalised_borrowing_costs_aud_m</vt:lpstr>
      <vt:lpstr>net_debt_adjustment_interim_dividend_aud_m</vt:lpstr>
      <vt:lpstr>offer_premium_to_undisturbed_pct</vt:lpstr>
      <vt:lpstr>offer_price_aud</vt:lpstr>
      <vt:lpstr>ordinary_shares_on_issue_m</vt:lpstr>
      <vt:lpstr>other_assets_and_liabilities_aud_m</vt:lpstr>
      <vt:lpstr>precedent_ebita_business_operations_value_aud_m_high</vt:lpstr>
      <vt:lpstr>precedent_ebita_business_operations_value_aud_m_low</vt:lpstr>
      <vt:lpstr>precedent_ebita_business_operations_value_aud_m_mid</vt:lpstr>
      <vt:lpstr>precedent_ebita_control_premium_pct</vt:lpstr>
      <vt:lpstr>precedent_ebita_diluted_shares_m_high</vt:lpstr>
      <vt:lpstr>precedent_ebita_diluted_shares_m_low</vt:lpstr>
      <vt:lpstr>precedent_ebita_diluted_shares_m_mid</vt:lpstr>
      <vt:lpstr>precedent_ebita_earnings_aud_m</vt:lpstr>
      <vt:lpstr>precedent_ebita_enterprise_value_aud_m_high</vt:lpstr>
      <vt:lpstr>precedent_ebita_enterprise_value_aud_m_low</vt:lpstr>
      <vt:lpstr>precedent_ebita_enterprise_value_aud_m_mid</vt:lpstr>
      <vt:lpstr>precedent_ebita_equity_value_aud_m_high</vt:lpstr>
      <vt:lpstr>precedent_ebita_equity_value_aud_m_low</vt:lpstr>
      <vt:lpstr>precedent_ebita_equity_value_aud_m_mid</vt:lpstr>
      <vt:lpstr>precedent_ebita_multiple_fy26_high_x</vt:lpstr>
      <vt:lpstr>precedent_ebita_multiple_fy26_low_x</vt:lpstr>
      <vt:lpstr>precedent_ebita_multiple_x_high</vt:lpstr>
      <vt:lpstr>precedent_ebita_multiple_x_low</vt:lpstr>
      <vt:lpstr>precedent_ebita_multiple_x_mid</vt:lpstr>
      <vt:lpstr>precedent_ebita_value_per_share_aud_high</vt:lpstr>
      <vt:lpstr>precedent_ebita_value_per_share_aud_low</vt:lpstr>
      <vt:lpstr>precedent_ebita_value_per_share_aud_mid</vt:lpstr>
      <vt:lpstr>precedent_ebitda_business_operations_value_aud_m_high</vt:lpstr>
      <vt:lpstr>precedent_ebitda_business_operations_value_aud_m_low</vt:lpstr>
      <vt:lpstr>precedent_ebitda_business_operations_value_aud_m_mid</vt:lpstr>
      <vt:lpstr>precedent_ebitda_control_premium_pct</vt:lpstr>
      <vt:lpstr>precedent_ebitda_diluted_shares_m_high</vt:lpstr>
      <vt:lpstr>precedent_ebitda_diluted_shares_m_low</vt:lpstr>
      <vt:lpstr>precedent_ebitda_diluted_shares_m_mid</vt:lpstr>
      <vt:lpstr>precedent_ebitda_earnings_aud_m</vt:lpstr>
      <vt:lpstr>precedent_ebitda_enterprise_value_aud_m_high</vt:lpstr>
      <vt:lpstr>precedent_ebitda_enterprise_value_aud_m_low</vt:lpstr>
      <vt:lpstr>precedent_ebitda_enterprise_value_aud_m_mid</vt:lpstr>
      <vt:lpstr>precedent_ebitda_equity_value_aud_m_high</vt:lpstr>
      <vt:lpstr>precedent_ebitda_equity_value_aud_m_low</vt:lpstr>
      <vt:lpstr>precedent_ebitda_equity_value_aud_m_mid</vt:lpstr>
      <vt:lpstr>precedent_ebitda_multiple_fy26_high_x</vt:lpstr>
      <vt:lpstr>precedent_ebitda_multiple_fy26_low_x</vt:lpstr>
      <vt:lpstr>precedent_ebitda_multiple_x_high</vt:lpstr>
      <vt:lpstr>precedent_ebitda_multiple_x_low</vt:lpstr>
      <vt:lpstr>precedent_ebitda_multiple_x_mid</vt:lpstr>
      <vt:lpstr>precedent_ebitda_value_per_share_aud_high</vt:lpstr>
      <vt:lpstr>precedent_ebitda_value_per_share_aud_low</vt:lpstr>
      <vt:lpstr>precedent_ebitda_value_per_share_aud_mid</vt:lpstr>
      <vt:lpstr>preferred_dcf_value_per_share_aud</vt:lpstr>
      <vt:lpstr>preferred_precedent_value_per_share_aud</vt:lpstr>
      <vt:lpstr>preferred_trading_value_per_share_aud</vt:lpstr>
      <vt:lpstr>preferred_value_per_share_aud</vt:lpstr>
      <vt:lpstr>projection_end_date_ymd</vt:lpstr>
      <vt:lpstr>reported_net_debt_including_leases_aud_m</vt:lpstr>
      <vt:lpstr>residential_and_mdc_share_of_revenue_pct</vt:lpstr>
      <vt:lpstr>revenue_growth_fy26_to_fy35_pct</vt:lpstr>
      <vt:lpstr>risk_free_rate_pct</vt:lpstr>
      <vt:lpstr>sensitivity_growth_step_pct</vt:lpstr>
      <vt:lpstr>sensitivity_rate_step_pct</vt:lpstr>
      <vt:lpstr>sensitivity_steps_each_side</vt:lpstr>
      <vt:lpstr>share_rights_cash_settled_m</vt:lpstr>
      <vt:lpstr>share_rights_vesting_high_m</vt:lpstr>
      <vt:lpstr>share_rights_vesting_low_m</vt:lpstr>
      <vt:lpstr>special_dividend_aud</vt:lpstr>
      <vt:lpstr>stub_period_years</vt:lpstr>
      <vt:lpstr>tax_rate_pct</vt:lpstr>
      <vt:lpstr>terminal_growth_pct</vt:lpstr>
      <vt:lpstr>trading_ebita_business_operations_value_aud_m_high</vt:lpstr>
      <vt:lpstr>trading_ebita_business_operations_value_aud_m_low</vt:lpstr>
      <vt:lpstr>trading_ebita_business_operations_value_aud_m_mid</vt:lpstr>
      <vt:lpstr>trading_ebita_control_premium_pct</vt:lpstr>
      <vt:lpstr>trading_ebita_diluted_shares_m_high</vt:lpstr>
      <vt:lpstr>trading_ebita_diluted_shares_m_low</vt:lpstr>
      <vt:lpstr>trading_ebita_diluted_shares_m_mid</vt:lpstr>
      <vt:lpstr>trading_ebita_earnings_aud_m</vt:lpstr>
      <vt:lpstr>trading_ebita_enterprise_value_aud_m_high</vt:lpstr>
      <vt:lpstr>trading_ebita_enterprise_value_aud_m_low</vt:lpstr>
      <vt:lpstr>trading_ebita_enterprise_value_aud_m_mid</vt:lpstr>
      <vt:lpstr>trading_ebita_equity_value_aud_m_high</vt:lpstr>
      <vt:lpstr>trading_ebita_equity_value_aud_m_low</vt:lpstr>
      <vt:lpstr>trading_ebita_equity_value_aud_m_mid</vt:lpstr>
      <vt:lpstr>trading_ebita_multiple_fy26_high_x</vt:lpstr>
      <vt:lpstr>trading_ebita_multiple_fy26_low_x</vt:lpstr>
      <vt:lpstr>trading_ebita_multiple_x_high</vt:lpstr>
      <vt:lpstr>trading_ebita_multiple_x_low</vt:lpstr>
      <vt:lpstr>trading_ebita_multiple_x_mid</vt:lpstr>
      <vt:lpstr>trading_ebita_value_per_share_aud_high</vt:lpstr>
      <vt:lpstr>trading_ebita_value_per_share_aud_low</vt:lpstr>
      <vt:lpstr>trading_ebita_value_per_share_aud_mid</vt:lpstr>
      <vt:lpstr>trading_ebitda_business_operations_value_aud_m_high</vt:lpstr>
      <vt:lpstr>trading_ebitda_business_operations_value_aud_m_low</vt:lpstr>
      <vt:lpstr>trading_ebitda_business_operations_value_aud_m_mid</vt:lpstr>
      <vt:lpstr>trading_ebitda_control_premium_pct</vt:lpstr>
      <vt:lpstr>trading_ebitda_diluted_shares_m_high</vt:lpstr>
      <vt:lpstr>trading_ebitda_diluted_shares_m_low</vt:lpstr>
      <vt:lpstr>trading_ebitda_diluted_shares_m_mid</vt:lpstr>
      <vt:lpstr>trading_ebitda_earnings_aud_m</vt:lpstr>
      <vt:lpstr>trading_ebitda_enterprise_value_aud_m_high</vt:lpstr>
      <vt:lpstr>trading_ebitda_enterprise_value_aud_m_low</vt:lpstr>
      <vt:lpstr>trading_ebitda_enterprise_value_aud_m_mid</vt:lpstr>
      <vt:lpstr>trading_ebitda_equity_value_aud_m_high</vt:lpstr>
      <vt:lpstr>trading_ebitda_equity_value_aud_m_low</vt:lpstr>
      <vt:lpstr>trading_ebitda_equity_value_aud_m_mid</vt:lpstr>
      <vt:lpstr>trading_ebitda_multiple_fy26_high_x</vt:lpstr>
      <vt:lpstr>trading_ebitda_multiple_fy26_low_x</vt:lpstr>
      <vt:lpstr>trading_ebitda_multiple_x_high</vt:lpstr>
      <vt:lpstr>trading_ebitda_multiple_x_low</vt:lpstr>
      <vt:lpstr>trading_ebitda_multiple_x_mid</vt:lpstr>
      <vt:lpstr>trading_ebitda_value_per_share_aud_high</vt:lpstr>
      <vt:lpstr>trading_ebitda_value_per_share_aud_low</vt:lpstr>
      <vt:lpstr>trading_ebitda_value_per_share_aud_mid</vt:lpstr>
      <vt:lpstr>treasury_shares_m</vt:lpstr>
      <vt:lpstr>undisturbed_share_price_aud</vt:lpstr>
      <vt:lpstr>valuation_date_ymd</vt:lpstr>
      <vt:lpstr>wacc_at_expert_risk_free_pct_high</vt:lpstr>
      <vt:lpstr>wacc_at_expert_risk_free_pct_low</vt:lpstr>
      <vt:lpstr>wacc_pct_high</vt:lpstr>
      <vt:lpstr>wacc_pct_low</vt:lpstr>
      <vt:lpstr>working_capital_pct_of_revenue_pct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erms:created xsi:type="dcterms:W3CDTF">2026-10-17T15:51:43Z</dcterms:created>
  <dcterms:modified xsi:type="dcterms:W3CDTF">2026-10-17T15:51:43Z</dcterms:modified>
</cp:coreProperties>
</file>