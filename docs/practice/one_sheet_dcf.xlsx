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F72251E1-C4FF-4D2C-B80E-F7FB2E97EDED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F14" i="1"/>
  <c r="E14" i="1"/>
  <c r="D14" i="1"/>
  <c r="C14" i="1"/>
  <c r="B14" i="1"/>
  <c r="B13" i="1"/>
  <c r="B15" i="1" l="1"/>
  <c r="C13" i="1"/>
  <c r="D13" i="1" l="1"/>
  <c r="C15" i="1"/>
  <c r="D15" i="1" l="1"/>
  <c r="E13" i="1"/>
  <c r="E15" i="1" l="1"/>
  <c r="F13" i="1"/>
  <c r="F15" i="1" l="1"/>
  <c r="B18" i="1" s="1"/>
  <c r="B21" i="1" s="1"/>
  <c r="B22" i="1" s="1"/>
  <c r="B23" i="1" s="1"/>
  <c r="B26" i="1" s="1"/>
  <c r="B19" i="1"/>
  <c r="B20" i="1" s="1"/>
</calcChain>
</file>

<file path=xl/sharedStrings.xml><?xml version="1.0" encoding="utf-8"?>
<sst xmlns="http://schemas.openxmlformats.org/spreadsheetml/2006/main" count="45" uniqueCount="40">
  <si>
    <t>One-sheet DCF: Harbour Industrial Ltd (invented example from docs/RESEARCH.md)</t>
  </si>
  <si>
    <t>A$ millions unless stated. Yellow cells are inputs. Every formula has a note in column H.</t>
  </si>
  <si>
    <t>Inputs</t>
  </si>
  <si>
    <t>What the formula does</t>
  </si>
  <si>
    <t>First-year free cash flow</t>
  </si>
  <si>
    <t>Input</t>
  </si>
  <si>
    <t>Growth in free cash flow, years 2 to 5</t>
  </si>
  <si>
    <t>Discount rate (WACC)</t>
  </si>
  <si>
    <t>Terminal growth rate</t>
  </si>
  <si>
    <t>Net debt</t>
  </si>
  <si>
    <t>Diluted shares (millions)</t>
  </si>
  <si>
    <t>Forecast</t>
  </si>
  <si>
    <t>Year</t>
  </si>
  <si>
    <t>Year numbers 1 to 5; valuation at the start of year 1, cash flows arrive at year end</t>
  </si>
  <si>
    <t>Free cash flow</t>
  </si>
  <si>
    <t>Year 1 is the input; each later year grows the year before by the growth input</t>
  </si>
  <si>
    <t>Discount factor</t>
  </si>
  <si>
    <t>Discount factor: 1 divided by (1 plus the discount rate) to the power of the year</t>
  </si>
  <si>
    <t>Present value of free cash flow</t>
  </si>
  <si>
    <t>Present value: free cash flow times the discount factor</t>
  </si>
  <si>
    <t>Value</t>
  </si>
  <si>
    <t>Present value of years 1 to 5</t>
  </si>
  <si>
    <t>Adds the five present values</t>
  </si>
  <si>
    <t>Terminal value at the end of year 5</t>
  </si>
  <si>
    <t>Gordon growth: year 6 free cash flow divided by (discount rate minus terminal growth)</t>
  </si>
  <si>
    <t>Present value of terminal value</t>
  </si>
  <si>
    <t>Discounts the terminal value back with the year 5 discount factor</t>
  </si>
  <si>
    <t>Enterprise value</t>
  </si>
  <si>
    <t>Adds the explicit years and the terminal value</t>
  </si>
  <si>
    <t>Equity value</t>
  </si>
  <si>
    <t>Enterprise value less net debt</t>
  </si>
  <si>
    <t>Value per share (A$)</t>
  </si>
  <si>
    <t>Equity value divided by diluted shares</t>
  </si>
  <si>
    <t>Sensitivity: value per share (A$)</t>
  </si>
  <si>
    <t>Data table: terminal growth across, discount rate down; recalculates B23 for each pair</t>
  </si>
  <si>
    <t>Discount rate down, terminal growth across</t>
  </si>
  <si>
    <t>Corner cell: points at the value per share that the table recalculates</t>
  </si>
  <si>
    <t>Data table C27:G31: row input B7 (terminal growth), column input B6 (discount rate)</t>
  </si>
  <si>
    <t>Check: value per share by the perpetuity shortcut</t>
  </si>
  <si>
    <t>With equal growth in the forecast and the terminal period, the DCF equals first-year cash flow over (rate minus growth), less net debt,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</si>
</sst>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64" fontId="0" fillId="2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6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4.4" x14ac:dyDescent="0.3"/>
  <cols>
    <col min="1" max="1" width="52" customWidth="1"/>
    <col min="2" max="7" width="12" customWidth="1"/>
    <col min="8" max="8" width="100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">
      <c r="A3" s="3" t="s">
        <v>2</v>
      </c>
      <c r="B3" s="2"/>
      <c r="C3" s="2"/>
      <c r="D3" s="2"/>
      <c r="E3" s="2"/>
      <c r="F3" s="2"/>
      <c r="G3" s="2"/>
      <c r="H3" s="3" t="s">
        <v>3</v>
      </c>
    </row>
    <row r="4" spans="1:8" x14ac:dyDescent="0.3">
      <c r="A4" s="2" t="s">
        <v>4</v>
      </c>
      <c r="B4" s="4">
        <v>30</v>
      </c>
      <c r="C4" s="2"/>
      <c r="D4" s="2"/>
      <c r="E4" s="2"/>
      <c r="F4" s="2"/>
      <c r="G4" s="2"/>
      <c r="H4" s="2" t="s">
        <v>5</v>
      </c>
    </row>
    <row r="5" spans="1:8" x14ac:dyDescent="0.3">
      <c r="A5" s="2" t="s">
        <v>6</v>
      </c>
      <c r="B5" s="5">
        <v>0.03</v>
      </c>
      <c r="C5" s="2"/>
      <c r="D5" s="2"/>
      <c r="E5" s="2"/>
      <c r="F5" s="2"/>
      <c r="G5" s="2"/>
      <c r="H5" s="2" t="s">
        <v>5</v>
      </c>
    </row>
    <row r="6" spans="1:8" x14ac:dyDescent="0.3">
      <c r="A6" s="2" t="s">
        <v>7</v>
      </c>
      <c r="B6" s="5">
        <v>0.104</v>
      </c>
      <c r="C6" s="2"/>
      <c r="D6" s="2"/>
      <c r="E6" s="2"/>
      <c r="F6" s="2"/>
      <c r="G6" s="2"/>
      <c r="H6" s="2" t="s">
        <v>5</v>
      </c>
    </row>
    <row r="7" spans="1:8" x14ac:dyDescent="0.3">
      <c r="A7" s="2" t="s">
        <v>8</v>
      </c>
      <c r="B7" s="5">
        <v>0.03</v>
      </c>
      <c r="C7" s="2"/>
      <c r="D7" s="2"/>
      <c r="E7" s="2"/>
      <c r="F7" s="2"/>
      <c r="G7" s="2"/>
      <c r="H7" s="2" t="s">
        <v>5</v>
      </c>
    </row>
    <row r="8" spans="1:8" x14ac:dyDescent="0.3">
      <c r="A8" s="2" t="s">
        <v>9</v>
      </c>
      <c r="B8" s="4">
        <v>100</v>
      </c>
      <c r="C8" s="2"/>
      <c r="D8" s="2"/>
      <c r="E8" s="2"/>
      <c r="F8" s="2"/>
      <c r="G8" s="2"/>
      <c r="H8" s="2" t="s">
        <v>5</v>
      </c>
    </row>
    <row r="9" spans="1:8" x14ac:dyDescent="0.3">
      <c r="A9" s="2" t="s">
        <v>10</v>
      </c>
      <c r="B9" s="4">
        <v>100</v>
      </c>
      <c r="C9" s="2"/>
      <c r="D9" s="2"/>
      <c r="E9" s="2"/>
      <c r="F9" s="2"/>
      <c r="G9" s="2"/>
      <c r="H9" s="2" t="s">
        <v>5</v>
      </c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3" t="s">
        <v>11</v>
      </c>
      <c r="B11" s="2"/>
      <c r="C11" s="2"/>
      <c r="D11" s="2"/>
      <c r="E11" s="2"/>
      <c r="F11" s="2"/>
      <c r="G11" s="2"/>
      <c r="H11" s="2"/>
    </row>
    <row r="12" spans="1:8" x14ac:dyDescent="0.3">
      <c r="A12" s="2" t="s">
        <v>12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2"/>
      <c r="H12" s="2" t="s">
        <v>13</v>
      </c>
    </row>
    <row r="13" spans="1:8" x14ac:dyDescent="0.3">
      <c r="A13" s="2" t="s">
        <v>14</v>
      </c>
      <c r="B13" s="6">
        <f>$B$4</f>
        <v>30</v>
      </c>
      <c r="C13" s="6">
        <f>B13*(1+$B$5)</f>
        <v>30.900000000000002</v>
      </c>
      <c r="D13" s="6">
        <f>C13*(1+$B$5)</f>
        <v>31.827000000000002</v>
      </c>
      <c r="E13" s="6">
        <f>D13*(1+$B$5)</f>
        <v>32.78181</v>
      </c>
      <c r="F13" s="6">
        <f>E13*(1+$B$5)</f>
        <v>33.765264299999998</v>
      </c>
      <c r="G13" s="2"/>
      <c r="H13" s="2" t="s">
        <v>15</v>
      </c>
    </row>
    <row r="14" spans="1:8" x14ac:dyDescent="0.3">
      <c r="A14" s="2" t="s">
        <v>16</v>
      </c>
      <c r="B14" s="7">
        <f>1/(1+$B$6)^B12</f>
        <v>0.90579710144927528</v>
      </c>
      <c r="C14" s="7">
        <f>1/(1+$B$6)^C12</f>
        <v>0.82046838899390873</v>
      </c>
      <c r="D14" s="7">
        <f>1/(1+$B$6)^D12</f>
        <v>0.74317788858143907</v>
      </c>
      <c r="E14" s="7">
        <f>1/(1+$B$6)^E12</f>
        <v>0.67316837733825996</v>
      </c>
      <c r="F14" s="7">
        <f>1/(1+$B$6)^F12</f>
        <v>0.60975396498030787</v>
      </c>
      <c r="G14" s="2"/>
      <c r="H14" s="2" t="s">
        <v>17</v>
      </c>
    </row>
    <row r="15" spans="1:8" x14ac:dyDescent="0.3">
      <c r="A15" s="2" t="s">
        <v>18</v>
      </c>
      <c r="B15" s="6">
        <f>B13*B14</f>
        <v>27.173913043478258</v>
      </c>
      <c r="C15" s="6">
        <f>C13*C14</f>
        <v>25.352473219911783</v>
      </c>
      <c r="D15" s="6">
        <f>D13*D14</f>
        <v>23.653122659881461</v>
      </c>
      <c r="E15" s="6">
        <f>E13*E14</f>
        <v>22.067677843911145</v>
      </c>
      <c r="F15" s="6">
        <f>F13*F14</f>
        <v>20.588503785533039</v>
      </c>
      <c r="G15" s="2"/>
      <c r="H15" s="2" t="s">
        <v>19</v>
      </c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3" t="s">
        <v>20</v>
      </c>
      <c r="B17" s="2"/>
      <c r="C17" s="2"/>
      <c r="D17" s="2"/>
      <c r="E17" s="2"/>
      <c r="F17" s="2"/>
      <c r="G17" s="2"/>
      <c r="H17" s="2"/>
    </row>
    <row r="18" spans="1:8" x14ac:dyDescent="0.3">
      <c r="A18" s="2" t="s">
        <v>21</v>
      </c>
      <c r="B18" s="6">
        <f>SUM(B15:F15)</f>
        <v>118.83569055271568</v>
      </c>
      <c r="C18" s="2"/>
      <c r="D18" s="2"/>
      <c r="E18" s="2"/>
      <c r="F18" s="2"/>
      <c r="G18" s="2"/>
      <c r="H18" s="2" t="s">
        <v>22</v>
      </c>
    </row>
    <row r="19" spans="1:8" x14ac:dyDescent="0.3">
      <c r="A19" s="2" t="s">
        <v>23</v>
      </c>
      <c r="B19" s="6">
        <f>F13*(1+B7)/(B6-B7)</f>
        <v>469.97597606756761</v>
      </c>
      <c r="C19" s="2"/>
      <c r="D19" s="2"/>
      <c r="E19" s="2"/>
      <c r="F19" s="2"/>
      <c r="G19" s="2"/>
      <c r="H19" s="2" t="s">
        <v>24</v>
      </c>
    </row>
    <row r="20" spans="1:8" x14ac:dyDescent="0.3">
      <c r="A20" s="2" t="s">
        <v>25</v>
      </c>
      <c r="B20" s="6">
        <f>B19*F14</f>
        <v>286.56971485268963</v>
      </c>
      <c r="C20" s="2"/>
      <c r="D20" s="2"/>
      <c r="E20" s="2"/>
      <c r="F20" s="2"/>
      <c r="G20" s="2"/>
      <c r="H20" s="2" t="s">
        <v>26</v>
      </c>
    </row>
    <row r="21" spans="1:8" x14ac:dyDescent="0.3">
      <c r="A21" s="2" t="s">
        <v>27</v>
      </c>
      <c r="B21" s="6">
        <f>B18+B20</f>
        <v>405.4054054054053</v>
      </c>
      <c r="C21" s="2"/>
      <c r="D21" s="2"/>
      <c r="E21" s="2"/>
      <c r="F21" s="2"/>
      <c r="G21" s="2"/>
      <c r="H21" s="2" t="s">
        <v>28</v>
      </c>
    </row>
    <row r="22" spans="1:8" x14ac:dyDescent="0.3">
      <c r="A22" s="2" t="s">
        <v>29</v>
      </c>
      <c r="B22" s="6">
        <f>B21-B8</f>
        <v>305.4054054054053</v>
      </c>
      <c r="C22" s="2"/>
      <c r="D22" s="2"/>
      <c r="E22" s="2"/>
      <c r="F22" s="2"/>
      <c r="G22" s="2"/>
      <c r="H22" s="2" t="s">
        <v>30</v>
      </c>
    </row>
    <row r="23" spans="1:8" x14ac:dyDescent="0.3">
      <c r="A23" s="3" t="s">
        <v>31</v>
      </c>
      <c r="B23" s="8">
        <f>B22/B9</f>
        <v>3.0540540540540531</v>
      </c>
      <c r="C23" s="2"/>
      <c r="D23" s="2"/>
      <c r="E23" s="2"/>
      <c r="F23" s="2"/>
      <c r="G23" s="2"/>
      <c r="H23" s="2" t="s">
        <v>32</v>
      </c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3" t="s">
        <v>33</v>
      </c>
      <c r="B25" s="2"/>
      <c r="C25" s="2"/>
      <c r="D25" s="2"/>
      <c r="E25" s="2"/>
      <c r="F25" s="2"/>
      <c r="G25" s="2"/>
      <c r="H25" s="2" t="s">
        <v>34</v>
      </c>
    </row>
    <row r="26" spans="1:8" x14ac:dyDescent="0.3">
      <c r="A26" s="2" t="s">
        <v>35</v>
      </c>
      <c r="B26" s="7">
        <f>B23</f>
        <v>3.0540540540540531</v>
      </c>
      <c r="C26" s="9">
        <v>0.02</v>
      </c>
      <c r="D26" s="9">
        <v>2.5000000000000001E-2</v>
      </c>
      <c r="E26" s="9">
        <v>0.03</v>
      </c>
      <c r="F26" s="9">
        <v>3.5000000000000003E-2</v>
      </c>
      <c r="G26" s="9">
        <v>0.04</v>
      </c>
      <c r="H26" s="2" t="s">
        <v>36</v>
      </c>
    </row>
    <row r="27" spans="1:8" x14ac:dyDescent="0.3">
      <c r="A27" s="2"/>
      <c r="B27" s="9">
        <v>9.4E-2</v>
      </c>
      <c r="C27" s="10">
        <f t="dataTable" ref="C27:G31" dt2D="1" dtr="1" r1="B7" r2="B6"/>
        <v>3.1897753248303089</v>
      </c>
      <c r="D27" s="10">
        <v>3.4206041596916128</v>
      </c>
      <c r="E27" s="10">
        <v>3.6874999999999982</v>
      </c>
      <c r="F27" s="10">
        <v>3.9996324234114993</v>
      </c>
      <c r="G27" s="10">
        <v>4.3695671474547586</v>
      </c>
      <c r="H27" s="2" t="s">
        <v>37</v>
      </c>
    </row>
    <row r="28" spans="1:8" x14ac:dyDescent="0.3">
      <c r="A28" s="2"/>
      <c r="B28" s="9">
        <v>9.9000000000000005E-2</v>
      </c>
      <c r="C28" s="10">
        <v>2.923203392507923</v>
      </c>
      <c r="D28" s="10">
        <v>3.121169378433283</v>
      </c>
      <c r="E28" s="10">
        <v>3.3478260869565224</v>
      </c>
      <c r="F28" s="10">
        <v>3.6098979061865162</v>
      </c>
      <c r="G28" s="10">
        <v>3.9163886778283752</v>
      </c>
      <c r="H28" s="2"/>
    </row>
    <row r="29" spans="1:8" x14ac:dyDescent="0.3">
      <c r="A29" s="2"/>
      <c r="B29" s="9">
        <v>0.104</v>
      </c>
      <c r="C29" s="10">
        <v>2.6883895080561695</v>
      </c>
      <c r="D29" s="10">
        <v>2.8596501182070768</v>
      </c>
      <c r="E29" s="10">
        <v>3.0540540540540531</v>
      </c>
      <c r="F29" s="10">
        <v>3.2766324733571124</v>
      </c>
      <c r="G29" s="10">
        <v>3.5339887706762756</v>
      </c>
      <c r="H29" s="2"/>
    </row>
    <row r="30" spans="1:8" x14ac:dyDescent="0.3">
      <c r="A30" s="2"/>
      <c r="B30" s="9">
        <v>0.109</v>
      </c>
      <c r="C30" s="10">
        <v>2.4799806790351577</v>
      </c>
      <c r="D30" s="10">
        <v>2.6292754787745776</v>
      </c>
      <c r="E30" s="10">
        <v>2.79746835443038</v>
      </c>
      <c r="F30" s="10">
        <v>2.9883899970666961</v>
      </c>
      <c r="G30" s="10">
        <v>3.206981442983639</v>
      </c>
      <c r="H30" s="2"/>
    </row>
    <row r="31" spans="1:8" x14ac:dyDescent="0.3">
      <c r="A31" s="2"/>
      <c r="B31" s="9">
        <v>0.114</v>
      </c>
      <c r="C31" s="10">
        <v>2.2937628613313246</v>
      </c>
      <c r="D31" s="10">
        <v>2.4247961177817099</v>
      </c>
      <c r="E31" s="10">
        <v>2.5714285714285707</v>
      </c>
      <c r="F31" s="10">
        <v>2.7366220951573115</v>
      </c>
      <c r="G31" s="10">
        <v>2.9241390680385853</v>
      </c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 t="s">
        <v>38</v>
      </c>
      <c r="B33" s="7">
        <f>(B4/(B6-B7)-B8)/B9</f>
        <v>3.0540540540540544</v>
      </c>
      <c r="C33" s="2"/>
      <c r="D33" s="2"/>
      <c r="E33" s="2"/>
      <c r="F33" s="2"/>
      <c r="G33" s="2"/>
      <c r="H33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2026-10-05T07:46:51Z</dcterms:created>
  <dcterms:modified xsi:type="dcterms:W3CDTF">2026-10-05T07:46:51Z</dcterms:modified>
</cp:coreProperties>
</file>